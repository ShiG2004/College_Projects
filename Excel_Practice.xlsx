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795ba131278e67/Desktop/"/>
    </mc:Choice>
  </mc:AlternateContent>
  <xr:revisionPtr revIDLastSave="0" documentId="8_{D668E242-8494-4B7F-9235-48D630EE0791}" xr6:coauthVersionLast="47" xr6:coauthVersionMax="47" xr10:uidLastSave="{00000000-0000-0000-0000-000000000000}"/>
  <bookViews>
    <workbookView xWindow="180" yWindow="372" windowWidth="21552" windowHeight="11532" xr2:uid="{5186DD37-1ED7-0B40-BDA1-760B96A56135}"/>
  </bookViews>
  <sheets>
    <sheet name="Exercises" sheetId="1" r:id="rId1"/>
    <sheet name="Payroll Data" sheetId="3" r:id="rId2"/>
    <sheet name="Reference Data" sheetId="4" r:id="rId3"/>
    <sheet name="Pivot table 1" sheetId="5" r:id="rId4"/>
    <sheet name="Pivot table 2" sheetId="6" r:id="rId5"/>
  </sheets>
  <definedNames>
    <definedName name="ExternalData_1" localSheetId="1" hidden="1">'Payroll Data'!$A$1:$L$202</definedName>
    <definedName name="ExternalData_1" localSheetId="2" hidden="1">'Reference Data'!$A$1:$D$200</definedName>
  </definedNames>
  <calcPr calcId="191028"/>
  <pivotCaches>
    <pivotCache cacheId="3531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4" i="3" l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O3" i="1"/>
  <c r="N3" i="1"/>
  <c r="M5" i="3"/>
  <c r="N5" i="3" s="1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24" i="3"/>
  <c r="N24" i="3" s="1"/>
  <c r="M25" i="3"/>
  <c r="N25" i="3" s="1"/>
  <c r="M26" i="3"/>
  <c r="N26" i="3" s="1"/>
  <c r="M27" i="3"/>
  <c r="N27" i="3" s="1"/>
  <c r="M28" i="3"/>
  <c r="N28" i="3" s="1"/>
  <c r="M29" i="3"/>
  <c r="N29" i="3" s="1"/>
  <c r="M30" i="3"/>
  <c r="N30" i="3" s="1"/>
  <c r="M31" i="3"/>
  <c r="N31" i="3" s="1"/>
  <c r="M32" i="3"/>
  <c r="N32" i="3" s="1"/>
  <c r="M33" i="3"/>
  <c r="N33" i="3" s="1"/>
  <c r="M34" i="3"/>
  <c r="N34" i="3" s="1"/>
  <c r="M35" i="3"/>
  <c r="N35" i="3" s="1"/>
  <c r="M36" i="3"/>
  <c r="N36" i="3" s="1"/>
  <c r="M37" i="3"/>
  <c r="N37" i="3" s="1"/>
  <c r="M38" i="3"/>
  <c r="N38" i="3" s="1"/>
  <c r="M39" i="3"/>
  <c r="N39" i="3" s="1"/>
  <c r="M40" i="3"/>
  <c r="N40" i="3" s="1"/>
  <c r="M41" i="3"/>
  <c r="N41" i="3" s="1"/>
  <c r="M42" i="3"/>
  <c r="N42" i="3" s="1"/>
  <c r="M43" i="3"/>
  <c r="N43" i="3" s="1"/>
  <c r="M44" i="3"/>
  <c r="N44" i="3" s="1"/>
  <c r="M45" i="3"/>
  <c r="N45" i="3" s="1"/>
  <c r="M46" i="3"/>
  <c r="N46" i="3" s="1"/>
  <c r="M47" i="3"/>
  <c r="N47" i="3" s="1"/>
  <c r="M48" i="3"/>
  <c r="N48" i="3" s="1"/>
  <c r="M49" i="3"/>
  <c r="N49" i="3" s="1"/>
  <c r="M50" i="3"/>
  <c r="N50" i="3" s="1"/>
  <c r="M51" i="3"/>
  <c r="N51" i="3" s="1"/>
  <c r="M52" i="3"/>
  <c r="N52" i="3" s="1"/>
  <c r="M53" i="3"/>
  <c r="N53" i="3" s="1"/>
  <c r="M54" i="3"/>
  <c r="N54" i="3" s="1"/>
  <c r="M55" i="3"/>
  <c r="N55" i="3" s="1"/>
  <c r="M56" i="3"/>
  <c r="N56" i="3" s="1"/>
  <c r="M57" i="3"/>
  <c r="N57" i="3" s="1"/>
  <c r="M58" i="3"/>
  <c r="N58" i="3" s="1"/>
  <c r="M59" i="3"/>
  <c r="N59" i="3" s="1"/>
  <c r="M60" i="3"/>
  <c r="N60" i="3" s="1"/>
  <c r="M61" i="3"/>
  <c r="N61" i="3" s="1"/>
  <c r="M62" i="3"/>
  <c r="N62" i="3" s="1"/>
  <c r="M63" i="3"/>
  <c r="N63" i="3" s="1"/>
  <c r="M64" i="3"/>
  <c r="N64" i="3" s="1"/>
  <c r="M65" i="3"/>
  <c r="N65" i="3" s="1"/>
  <c r="M66" i="3"/>
  <c r="N66" i="3" s="1"/>
  <c r="M67" i="3"/>
  <c r="N67" i="3" s="1"/>
  <c r="M68" i="3"/>
  <c r="N68" i="3" s="1"/>
  <c r="M69" i="3"/>
  <c r="N69" i="3" s="1"/>
  <c r="M70" i="3"/>
  <c r="N70" i="3" s="1"/>
  <c r="M71" i="3"/>
  <c r="N71" i="3" s="1"/>
  <c r="M72" i="3"/>
  <c r="N72" i="3" s="1"/>
  <c r="M73" i="3"/>
  <c r="N73" i="3" s="1"/>
  <c r="M74" i="3"/>
  <c r="N74" i="3" s="1"/>
  <c r="M75" i="3"/>
  <c r="N75" i="3" s="1"/>
  <c r="M76" i="3"/>
  <c r="N76" i="3" s="1"/>
  <c r="M77" i="3"/>
  <c r="N77" i="3" s="1"/>
  <c r="M78" i="3"/>
  <c r="N78" i="3" s="1"/>
  <c r="M79" i="3"/>
  <c r="N79" i="3" s="1"/>
  <c r="M80" i="3"/>
  <c r="N80" i="3" s="1"/>
  <c r="M81" i="3"/>
  <c r="N81" i="3" s="1"/>
  <c r="M82" i="3"/>
  <c r="N82" i="3" s="1"/>
  <c r="M83" i="3"/>
  <c r="N83" i="3" s="1"/>
  <c r="M84" i="3"/>
  <c r="N84" i="3" s="1"/>
  <c r="M85" i="3"/>
  <c r="N85" i="3" s="1"/>
  <c r="M86" i="3"/>
  <c r="N86" i="3" s="1"/>
  <c r="M87" i="3"/>
  <c r="N87" i="3" s="1"/>
  <c r="M88" i="3"/>
  <c r="N88" i="3" s="1"/>
  <c r="M89" i="3"/>
  <c r="N89" i="3" s="1"/>
  <c r="M90" i="3"/>
  <c r="N90" i="3" s="1"/>
  <c r="M91" i="3"/>
  <c r="N91" i="3" s="1"/>
  <c r="M92" i="3"/>
  <c r="N92" i="3" s="1"/>
  <c r="M93" i="3"/>
  <c r="N93" i="3" s="1"/>
  <c r="M94" i="3"/>
  <c r="N94" i="3" s="1"/>
  <c r="M95" i="3"/>
  <c r="N95" i="3" s="1"/>
  <c r="M96" i="3"/>
  <c r="N96" i="3" s="1"/>
  <c r="M97" i="3"/>
  <c r="N97" i="3" s="1"/>
  <c r="M98" i="3"/>
  <c r="N98" i="3" s="1"/>
  <c r="M99" i="3"/>
  <c r="N99" i="3" s="1"/>
  <c r="M100" i="3"/>
  <c r="N100" i="3" s="1"/>
  <c r="M101" i="3"/>
  <c r="N101" i="3" s="1"/>
  <c r="M102" i="3"/>
  <c r="N102" i="3" s="1"/>
  <c r="M103" i="3"/>
  <c r="N103" i="3" s="1"/>
  <c r="M104" i="3"/>
  <c r="N104" i="3" s="1"/>
  <c r="M105" i="3"/>
  <c r="N105" i="3" s="1"/>
  <c r="M106" i="3"/>
  <c r="N106" i="3" s="1"/>
  <c r="M107" i="3"/>
  <c r="N107" i="3" s="1"/>
  <c r="M108" i="3"/>
  <c r="N108" i="3" s="1"/>
  <c r="M109" i="3"/>
  <c r="N109" i="3" s="1"/>
  <c r="M110" i="3"/>
  <c r="N110" i="3" s="1"/>
  <c r="M111" i="3"/>
  <c r="N111" i="3" s="1"/>
  <c r="M112" i="3"/>
  <c r="N112" i="3" s="1"/>
  <c r="M113" i="3"/>
  <c r="N113" i="3" s="1"/>
  <c r="M114" i="3"/>
  <c r="N114" i="3" s="1"/>
  <c r="M115" i="3"/>
  <c r="N115" i="3" s="1"/>
  <c r="M116" i="3"/>
  <c r="N116" i="3" s="1"/>
  <c r="M117" i="3"/>
  <c r="N117" i="3" s="1"/>
  <c r="M118" i="3"/>
  <c r="N118" i="3" s="1"/>
  <c r="M119" i="3"/>
  <c r="N119" i="3" s="1"/>
  <c r="M120" i="3"/>
  <c r="N120" i="3" s="1"/>
  <c r="M121" i="3"/>
  <c r="N121" i="3" s="1"/>
  <c r="M122" i="3"/>
  <c r="N122" i="3" s="1"/>
  <c r="M123" i="3"/>
  <c r="N123" i="3" s="1"/>
  <c r="M124" i="3"/>
  <c r="N124" i="3" s="1"/>
  <c r="M125" i="3"/>
  <c r="N125" i="3" s="1"/>
  <c r="M126" i="3"/>
  <c r="N126" i="3" s="1"/>
  <c r="M127" i="3"/>
  <c r="N127" i="3" s="1"/>
  <c r="M128" i="3"/>
  <c r="N128" i="3" s="1"/>
  <c r="M129" i="3"/>
  <c r="N129" i="3" s="1"/>
  <c r="M130" i="3"/>
  <c r="N130" i="3" s="1"/>
  <c r="M131" i="3"/>
  <c r="N131" i="3" s="1"/>
  <c r="M132" i="3"/>
  <c r="N132" i="3" s="1"/>
  <c r="M133" i="3"/>
  <c r="N133" i="3" s="1"/>
  <c r="M134" i="3"/>
  <c r="N134" i="3" s="1"/>
  <c r="M135" i="3"/>
  <c r="N135" i="3" s="1"/>
  <c r="M136" i="3"/>
  <c r="N136" i="3" s="1"/>
  <c r="M137" i="3"/>
  <c r="N137" i="3" s="1"/>
  <c r="M138" i="3"/>
  <c r="N138" i="3" s="1"/>
  <c r="M139" i="3"/>
  <c r="N139" i="3" s="1"/>
  <c r="M140" i="3"/>
  <c r="N140" i="3" s="1"/>
  <c r="M141" i="3"/>
  <c r="N141" i="3" s="1"/>
  <c r="M142" i="3"/>
  <c r="N142" i="3" s="1"/>
  <c r="M143" i="3"/>
  <c r="N143" i="3" s="1"/>
  <c r="M144" i="3"/>
  <c r="N144" i="3" s="1"/>
  <c r="M145" i="3"/>
  <c r="N145" i="3" s="1"/>
  <c r="M146" i="3"/>
  <c r="N146" i="3" s="1"/>
  <c r="M147" i="3"/>
  <c r="N147" i="3" s="1"/>
  <c r="M148" i="3"/>
  <c r="N148" i="3" s="1"/>
  <c r="M149" i="3"/>
  <c r="N149" i="3" s="1"/>
  <c r="M150" i="3"/>
  <c r="N150" i="3" s="1"/>
  <c r="M151" i="3"/>
  <c r="N151" i="3" s="1"/>
  <c r="M152" i="3"/>
  <c r="N152" i="3" s="1"/>
  <c r="M153" i="3"/>
  <c r="N153" i="3" s="1"/>
  <c r="M154" i="3"/>
  <c r="N154" i="3" s="1"/>
  <c r="M155" i="3"/>
  <c r="N155" i="3" s="1"/>
  <c r="M156" i="3"/>
  <c r="N156" i="3" s="1"/>
  <c r="M157" i="3"/>
  <c r="N157" i="3" s="1"/>
  <c r="M158" i="3"/>
  <c r="N158" i="3" s="1"/>
  <c r="M159" i="3"/>
  <c r="N159" i="3" s="1"/>
  <c r="M160" i="3"/>
  <c r="N160" i="3" s="1"/>
  <c r="M161" i="3"/>
  <c r="N161" i="3" s="1"/>
  <c r="M162" i="3"/>
  <c r="N162" i="3" s="1"/>
  <c r="M163" i="3"/>
  <c r="N163" i="3" s="1"/>
  <c r="M164" i="3"/>
  <c r="N164" i="3" s="1"/>
  <c r="M165" i="3"/>
  <c r="N165" i="3" s="1"/>
  <c r="M166" i="3"/>
  <c r="N166" i="3" s="1"/>
  <c r="M167" i="3"/>
  <c r="N167" i="3" s="1"/>
  <c r="M168" i="3"/>
  <c r="N168" i="3" s="1"/>
  <c r="M169" i="3"/>
  <c r="N169" i="3" s="1"/>
  <c r="M170" i="3"/>
  <c r="N170" i="3" s="1"/>
  <c r="M171" i="3"/>
  <c r="N171" i="3" s="1"/>
  <c r="M172" i="3"/>
  <c r="N172" i="3" s="1"/>
  <c r="M173" i="3"/>
  <c r="N173" i="3" s="1"/>
  <c r="M174" i="3"/>
  <c r="N174" i="3" s="1"/>
  <c r="M175" i="3"/>
  <c r="N175" i="3" s="1"/>
  <c r="M176" i="3"/>
  <c r="N176" i="3" s="1"/>
  <c r="M177" i="3"/>
  <c r="N177" i="3" s="1"/>
  <c r="M178" i="3"/>
  <c r="N178" i="3" s="1"/>
  <c r="M179" i="3"/>
  <c r="N179" i="3" s="1"/>
  <c r="M180" i="3"/>
  <c r="N180" i="3" s="1"/>
  <c r="M181" i="3"/>
  <c r="N181" i="3" s="1"/>
  <c r="M182" i="3"/>
  <c r="N182" i="3" s="1"/>
  <c r="M183" i="3"/>
  <c r="N183" i="3" s="1"/>
  <c r="M184" i="3"/>
  <c r="N184" i="3" s="1"/>
  <c r="M185" i="3"/>
  <c r="N185" i="3" s="1"/>
  <c r="M186" i="3"/>
  <c r="N186" i="3" s="1"/>
  <c r="M187" i="3"/>
  <c r="N187" i="3" s="1"/>
  <c r="M188" i="3"/>
  <c r="N188" i="3" s="1"/>
  <c r="M189" i="3"/>
  <c r="N189" i="3" s="1"/>
  <c r="M190" i="3"/>
  <c r="N190" i="3" s="1"/>
  <c r="M191" i="3"/>
  <c r="N191" i="3" s="1"/>
  <c r="M192" i="3"/>
  <c r="N192" i="3" s="1"/>
  <c r="M193" i="3"/>
  <c r="N193" i="3" s="1"/>
  <c r="M194" i="3"/>
  <c r="N194" i="3" s="1"/>
  <c r="M195" i="3"/>
  <c r="N195" i="3" s="1"/>
  <c r="M196" i="3"/>
  <c r="N196" i="3" s="1"/>
  <c r="M197" i="3"/>
  <c r="N197" i="3" s="1"/>
  <c r="M198" i="3"/>
  <c r="N198" i="3" s="1"/>
  <c r="M199" i="3"/>
  <c r="N199" i="3" s="1"/>
  <c r="M200" i="3"/>
  <c r="N200" i="3" s="1"/>
  <c r="M201" i="3"/>
  <c r="N201" i="3" s="1"/>
  <c r="M202" i="3"/>
  <c r="N202" i="3" s="1"/>
  <c r="M4" i="3"/>
  <c r="N4" i="3" s="1"/>
  <c r="M3" i="3"/>
  <c r="N3" i="3" s="1"/>
  <c r="M2" i="3"/>
  <c r="F203" i="3"/>
  <c r="M203" i="3" l="1"/>
  <c r="N2" i="3"/>
  <c r="M204" i="3"/>
  <c r="N20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2FBB1C-3583-4539-A0D9-D1621F960BD2}" keepAlive="1" name="Query - 02-data-file-1-payroll_data" description="Connection to the '02-data-file-1-payroll_data' query in the workbook." type="5" refreshedVersion="8" background="1">
    <dbPr connection="Provider=Microsoft.Mashup.OleDb.1;Data Source=$Workbook$;Location=02-data-file-1-payroll_data;Extended Properties=&quot;&quot;" command="SELECT * FROM [02-data-file-1-payroll_data]"/>
  </connection>
  <connection id="2" xr16:uid="{C6B5124B-00E6-4348-920D-DE83BA0C0BC5}" keepAlive="1" name="Query - 02-data-file-2-reference-data" description="Connection to the '02-data-file-2-reference-data' query in the workbook." type="5" refreshedVersion="8" background="1">
    <dbPr connection="Provider=Microsoft.Mashup.OleDb.1;Data Source=$Workbook$;Location=02-data-file-2-reference-data;Extended Properties=&quot;&quot;" command="SELECT * FROM [02-data-file-2-reference-data]"/>
  </connection>
</connections>
</file>

<file path=xl/sharedStrings.xml><?xml version="1.0" encoding="utf-8"?>
<sst xmlns="http://schemas.openxmlformats.org/spreadsheetml/2006/main" count="2417" uniqueCount="509">
  <si>
    <t>Exercise #1</t>
  </si>
  <si>
    <t>You will have to first download the two files, ‘payroll_data.txt’ and ‘reference_data.txt’ from Canvas(Modules-&gt;Chapter 2 Data Analysis with Excel)</t>
  </si>
  <si>
    <t>Answers (if column A has question)</t>
  </si>
  <si>
    <t>Import ‘payroll_data.txt’ file into a new tab and rename it as 'Payroll Data'</t>
  </si>
  <si>
    <t>Done</t>
  </si>
  <si>
    <t>How many rows are there?</t>
  </si>
  <si>
    <t>How many columns are there?</t>
  </si>
  <si>
    <t xml:space="preserve"> </t>
  </si>
  <si>
    <t>What is the average salary?</t>
  </si>
  <si>
    <t>AVERAGE(F3:F203)</t>
  </si>
  <si>
    <t>How many missing values are in each column?</t>
  </si>
  <si>
    <t>Exercise #2</t>
  </si>
  <si>
    <t>Address any data quality issues identified previous Exercise.</t>
  </si>
  <si>
    <t>Salary &amp; overtime stored as text
Inconsistent department names (Bizkits vs Biscuits)
NJ division labeling issue
Duplicate Employee IDs</t>
  </si>
  <si>
    <t>Create a new column with total compensation (salary plus overtime pay)… what is the average total compensation?</t>
  </si>
  <si>
    <t>SUBTOTAL(101,M2:M203)</t>
  </si>
  <si>
    <t>Add a column for the employee’s tenure at the company in years.</t>
  </si>
  <si>
    <t>YEAR(TODAY())-YEAR(H3)</t>
  </si>
  <si>
    <t>It turns out that all of the NJ employees work for separate division called “Tasty New Jersey”. Correct the Division column with this information.</t>
  </si>
  <si>
    <t>IF(G3="NJ","Tasty New Jersey",B3)</t>
  </si>
  <si>
    <t>Create a binary column (0/1) that identifies employees of the “Tasty” operating units.</t>
  </si>
  <si>
    <t>IF(LEFT(C2,5)="Tasty",1,0)</t>
  </si>
  <si>
    <t>Import ‘reference_data.txt’ file into a new tab and rename it as 'Reference Data'</t>
  </si>
  <si>
    <t>Add columns for Job Position and Gender in the 'Payroll Data' tab and fill them with data from the ‘Reference Data’ worksheet.</t>
  </si>
  <si>
    <t>XLOOKUP(A3,'Reference Data'!A:A,'Reference Data'!B:B)</t>
  </si>
  <si>
    <t>Note: Employee #574 has incorrect data; I didn't correct it.</t>
  </si>
  <si>
    <t>Exercise #3</t>
  </si>
  <si>
    <t>XLOOKUP(A3,'Reference Data'!A:A,'Reference Data'!C:C)</t>
  </si>
  <si>
    <t>What is the average percentage of total compensation that is overtime pay, not including staff with no overtime pay?</t>
  </si>
  <si>
    <t>AVERAGEIF(L3:L203,"&gt;0",N3:N203)</t>
  </si>
  <si>
    <r>
      <rPr>
        <sz val="14"/>
        <color rgb="FF000000"/>
        <rFont val="Times New Roman"/>
      </rPr>
      <t>Create a pivot table with the following statistics by Operating Unit:</t>
    </r>
    <r>
      <rPr>
        <sz val="14"/>
        <color theme="1"/>
        <rFont val="Times New Roman"/>
      </rPr>
      <t xml:space="preserve">
- Number of employees
- Average total compensation
- Average tenure (in years)</t>
    </r>
  </si>
  <si>
    <t>Rows: Job Titles
Columns: Operating Units
Values: Employee ID, Avg total compensation, Avg Tenure</t>
  </si>
  <si>
    <t>Add Job Title to the pivot table across the columns</t>
  </si>
  <si>
    <t>Note: I have problem with placing in the column for some
reason, so I just put it in rows</t>
  </si>
  <si>
    <t>Exercise #4</t>
  </si>
  <si>
    <t>Create a pivot table to show Number of Employess by State</t>
  </si>
  <si>
    <t>Create a bar plot with the number of employees by State using the pivot table data from above step</t>
  </si>
  <si>
    <t>add meaningful titles for the Chart and both X and Y axes</t>
  </si>
  <si>
    <t>Append your FirstInitial and Lastname to this file and upload into Canvas under Chapter 2 Assignment 1.</t>
  </si>
  <si>
    <t>Employee ID</t>
  </si>
  <si>
    <t>Division</t>
  </si>
  <si>
    <t>Corrected Division</t>
  </si>
  <si>
    <t>Operating Unit</t>
  </si>
  <si>
    <t>Is Tasty (0/1)</t>
  </si>
  <si>
    <t>Salary</t>
  </si>
  <si>
    <t>State</t>
  </si>
  <si>
    <t>Start Date</t>
  </si>
  <si>
    <t>Tenure (years)</t>
  </si>
  <si>
    <t>Division2</t>
  </si>
  <si>
    <t>Dept</t>
  </si>
  <si>
    <t>Overtime Pay</t>
  </si>
  <si>
    <t>Total Compensation</t>
  </si>
  <si>
    <t>Overtime %</t>
  </si>
  <si>
    <t>Job Title</t>
  </si>
  <si>
    <t>Gender</t>
  </si>
  <si>
    <t>138311</t>
  </si>
  <si>
    <t>Tasty New York</t>
  </si>
  <si>
    <t>Tasty Biscuits</t>
  </si>
  <si>
    <t>NJ</t>
  </si>
  <si>
    <t>4/18/2001</t>
  </si>
  <si>
    <t>3350</t>
  </si>
  <si>
    <t>2000</t>
  </si>
  <si>
    <t>390</t>
  </si>
  <si>
    <t>IT Services</t>
  </si>
  <si>
    <t>NY</t>
  </si>
  <si>
    <t>8/20/2011</t>
  </si>
  <si>
    <t>3810</t>
  </si>
  <si>
    <t>3000</t>
  </si>
  <si>
    <t>138661</t>
  </si>
  <si>
    <t>Tasty Soups</t>
  </si>
  <si>
    <t>6/19/2002</t>
  </si>
  <si>
    <t>3364</t>
  </si>
  <si>
    <t>2300</t>
  </si>
  <si>
    <t>138707</t>
  </si>
  <si>
    <t>9/11/2002</t>
  </si>
  <si>
    <t>2500</t>
  </si>
  <si>
    <t>548</t>
  </si>
  <si>
    <t>CT</t>
  </si>
  <si>
    <t>1/17/1996</t>
  </si>
  <si>
    <t>5000</t>
  </si>
  <si>
    <t>574</t>
  </si>
  <si>
    <t>4/6/2005</t>
  </si>
  <si>
    <t>4000</t>
  </si>
  <si>
    <t>601</t>
  </si>
  <si>
    <t>9/1/1999</t>
  </si>
  <si>
    <t>138795</t>
  </si>
  <si>
    <t>7/11/2011</t>
  </si>
  <si>
    <t>3338</t>
  </si>
  <si>
    <t>52250</t>
  </si>
  <si>
    <t>Luxury Treats</t>
  </si>
  <si>
    <t>2/28/1951</t>
  </si>
  <si>
    <t>3360</t>
  </si>
  <si>
    <t>53024</t>
  </si>
  <si>
    <t>6/28/1967</t>
  </si>
  <si>
    <t>53725</t>
  </si>
  <si>
    <t>3/18/1959</t>
  </si>
  <si>
    <t>3361</t>
  </si>
  <si>
    <t>53873</t>
  </si>
  <si>
    <t>5/9/1962</t>
  </si>
  <si>
    <t>53921</t>
  </si>
  <si>
    <t>9/1/1954</t>
  </si>
  <si>
    <t>54133</t>
  </si>
  <si>
    <t>Tasty Bizkits</t>
  </si>
  <si>
    <t>8/13/1958</t>
  </si>
  <si>
    <t>61908</t>
  </si>
  <si>
    <t>3/14/1973</t>
  </si>
  <si>
    <t>63032</t>
  </si>
  <si>
    <t>2/13/1974</t>
  </si>
  <si>
    <t>141084</t>
  </si>
  <si>
    <t>2/23/2005</t>
  </si>
  <si>
    <t>78018</t>
  </si>
  <si>
    <t>6/14/1978</t>
  </si>
  <si>
    <t>79912</t>
  </si>
  <si>
    <t>WA</t>
  </si>
  <si>
    <t>2/21/1979</t>
  </si>
  <si>
    <t>6000</t>
  </si>
  <si>
    <t>86077</t>
  </si>
  <si>
    <t>1/18/1984</t>
  </si>
  <si>
    <t>7000</t>
  </si>
  <si>
    <t>86134</t>
  </si>
  <si>
    <t>6/24/1981</t>
  </si>
  <si>
    <t>1005</t>
  </si>
  <si>
    <t>142697</t>
  </si>
  <si>
    <t>4/19/2006</t>
  </si>
  <si>
    <t>432</t>
  </si>
  <si>
    <t>95088</t>
  </si>
  <si>
    <t>2/10/1988</t>
  </si>
  <si>
    <t>3501</t>
  </si>
  <si>
    <t>95284</t>
  </si>
  <si>
    <t>Tasty Snacks Food</t>
  </si>
  <si>
    <t>6/12/1985</t>
  </si>
  <si>
    <t>3339</t>
  </si>
  <si>
    <t>3152</t>
  </si>
  <si>
    <t>98249</t>
  </si>
  <si>
    <t>9/19/1979</t>
  </si>
  <si>
    <t>1600</t>
  </si>
  <si>
    <t>98427</t>
  </si>
  <si>
    <t>Marketing</t>
  </si>
  <si>
    <t>9/24/1958</t>
  </si>
  <si>
    <t>3352</t>
  </si>
  <si>
    <t>1001</t>
  </si>
  <si>
    <t>100162</t>
  </si>
  <si>
    <t>6/3/1987</t>
  </si>
  <si>
    <t>3340</t>
  </si>
  <si>
    <t>2150</t>
  </si>
  <si>
    <t>536</t>
  </si>
  <si>
    <t>7/19/2006</t>
  </si>
  <si>
    <t>100402</t>
  </si>
  <si>
    <t>3/19/1997</t>
  </si>
  <si>
    <t>126713</t>
  </si>
  <si>
    <t>Plant Support Services</t>
  </si>
  <si>
    <t>10/7/1987</t>
  </si>
  <si>
    <t>3344</t>
  </si>
  <si>
    <t>137699</t>
  </si>
  <si>
    <t>Finance</t>
  </si>
  <si>
    <t>12/26/2001</t>
  </si>
  <si>
    <t>3310</t>
  </si>
  <si>
    <t>138375</t>
  </si>
  <si>
    <t>2/26/2003</t>
  </si>
  <si>
    <t>147366</t>
  </si>
  <si>
    <t>8/2/2013</t>
  </si>
  <si>
    <t>3342</t>
  </si>
  <si>
    <t>100522</t>
  </si>
  <si>
    <t>3/10/1999</t>
  </si>
  <si>
    <t>103910</t>
  </si>
  <si>
    <t>9/17/1986</t>
  </si>
  <si>
    <t>100622</t>
  </si>
  <si>
    <t>147316</t>
  </si>
  <si>
    <t>10/25/1995</t>
  </si>
  <si>
    <t>139524</t>
  </si>
  <si>
    <t>Human Resources</t>
  </si>
  <si>
    <t>6/9/2004</t>
  </si>
  <si>
    <t>3314</t>
  </si>
  <si>
    <t>648</t>
  </si>
  <si>
    <t>8/30/2006</t>
  </si>
  <si>
    <t>113834</t>
  </si>
  <si>
    <t>10/17/1990</t>
  </si>
  <si>
    <t>113991</t>
  </si>
  <si>
    <t>8/23/1989</t>
  </si>
  <si>
    <t>3318</t>
  </si>
  <si>
    <t>2127</t>
  </si>
  <si>
    <t>136266</t>
  </si>
  <si>
    <t>5/20/1998</t>
  </si>
  <si>
    <t>117681</t>
  </si>
  <si>
    <t>9/5/1990</t>
  </si>
  <si>
    <t>120766</t>
  </si>
  <si>
    <t>8/14/1991</t>
  </si>
  <si>
    <t>3508</t>
  </si>
  <si>
    <t>123477</t>
  </si>
  <si>
    <t>10/14/1992</t>
  </si>
  <si>
    <t>383</t>
  </si>
  <si>
    <t>NT</t>
  </si>
  <si>
    <t>2/4/2012</t>
  </si>
  <si>
    <t>126919</t>
  </si>
  <si>
    <t>7/27/1983</t>
  </si>
  <si>
    <t>126946</t>
  </si>
  <si>
    <t>7/6/1977</t>
  </si>
  <si>
    <t>127242</t>
  </si>
  <si>
    <t>12/27/1989</t>
  </si>
  <si>
    <t>3934</t>
  </si>
  <si>
    <t>127345</t>
  </si>
  <si>
    <t>7/5/1989</t>
  </si>
  <si>
    <t>131070</t>
  </si>
  <si>
    <t>1/26/1994</t>
  </si>
  <si>
    <t>133926</t>
  </si>
  <si>
    <t>136281</t>
  </si>
  <si>
    <t>6/9/1999</t>
  </si>
  <si>
    <t>134633</t>
  </si>
  <si>
    <t>12/28/1994</t>
  </si>
  <si>
    <t>134017</t>
  </si>
  <si>
    <t>7/3/1996</t>
  </si>
  <si>
    <t>3343</t>
  </si>
  <si>
    <t>135961</t>
  </si>
  <si>
    <t>138374</t>
  </si>
  <si>
    <t>5/8/2002</t>
  </si>
  <si>
    <t>139221</t>
  </si>
  <si>
    <t>9/1/2004</t>
  </si>
  <si>
    <t>142534</t>
  </si>
  <si>
    <t>92386</t>
  </si>
  <si>
    <t>9/26/1984</t>
  </si>
  <si>
    <t>136514</t>
  </si>
  <si>
    <t>5/21/2013</t>
  </si>
  <si>
    <t>110662</t>
  </si>
  <si>
    <t>8/25/1982</t>
  </si>
  <si>
    <t>136731</t>
  </si>
  <si>
    <t>11/24/1999</t>
  </si>
  <si>
    <t>140363</t>
  </si>
  <si>
    <t>3312</t>
  </si>
  <si>
    <t>136929</t>
  </si>
  <si>
    <t>4/8/1998</t>
  </si>
  <si>
    <t>136174</t>
  </si>
  <si>
    <t>11/26/1997</t>
  </si>
  <si>
    <t>137080</t>
  </si>
  <si>
    <t>1/10/1979</t>
  </si>
  <si>
    <t>137108</t>
  </si>
  <si>
    <t>6/22/1988</t>
  </si>
  <si>
    <t>137171</t>
  </si>
  <si>
    <t>137253</t>
  </si>
  <si>
    <t>7/1/1998</t>
  </si>
  <si>
    <t>137809</t>
  </si>
  <si>
    <t>6/21/2000</t>
  </si>
  <si>
    <t>140546</t>
  </si>
  <si>
    <t>7/31/2002</t>
  </si>
  <si>
    <t>141056</t>
  </si>
  <si>
    <t>1/12/2005</t>
  </si>
  <si>
    <t>141558</t>
  </si>
  <si>
    <t>12/14/2005</t>
  </si>
  <si>
    <t>142071</t>
  </si>
  <si>
    <t>10/11/2006</t>
  </si>
  <si>
    <t>137666</t>
  </si>
  <si>
    <t>8/5/1981</t>
  </si>
  <si>
    <t>3349</t>
  </si>
  <si>
    <t>143940</t>
  </si>
  <si>
    <t>3/28/2007</t>
  </si>
  <si>
    <t>137680</t>
  </si>
  <si>
    <t>7/21/1999</t>
  </si>
  <si>
    <t>137685</t>
  </si>
  <si>
    <t>1/6/1993</t>
  </si>
  <si>
    <t>144564</t>
  </si>
  <si>
    <t>8/20/2003</t>
  </si>
  <si>
    <t>2480</t>
  </si>
  <si>
    <t>137752</t>
  </si>
  <si>
    <t>94401</t>
  </si>
  <si>
    <t>1/8/1986</t>
  </si>
  <si>
    <t>137818</t>
  </si>
  <si>
    <t>11/1/2000</t>
  </si>
  <si>
    <t>137920</t>
  </si>
  <si>
    <t>5/30/2001</t>
  </si>
  <si>
    <t>100212</t>
  </si>
  <si>
    <t>6/11/1997</t>
  </si>
  <si>
    <t>100422</t>
  </si>
  <si>
    <t>137986</t>
  </si>
  <si>
    <t>101102</t>
  </si>
  <si>
    <t>3/7/2001</t>
  </si>
  <si>
    <t>108540</t>
  </si>
  <si>
    <t>111412</t>
  </si>
  <si>
    <t>5/21/2003</t>
  </si>
  <si>
    <t>138306</t>
  </si>
  <si>
    <t>4/9/2003</t>
  </si>
  <si>
    <t>116741</t>
  </si>
  <si>
    <t>136455</t>
  </si>
  <si>
    <t>7/26/1978</t>
  </si>
  <si>
    <t>3348</t>
  </si>
  <si>
    <t>137650</t>
  </si>
  <si>
    <t>Natural Health Foods</t>
  </si>
  <si>
    <t>10/13/1999</t>
  </si>
  <si>
    <t>3201</t>
  </si>
  <si>
    <t>138452</t>
  </si>
  <si>
    <t>139829</t>
  </si>
  <si>
    <t>5/2/1990</t>
  </si>
  <si>
    <t>138662</t>
  </si>
  <si>
    <t>5/18/2005</t>
  </si>
  <si>
    <t>141588</t>
  </si>
  <si>
    <t>11/24/2004</t>
  </si>
  <si>
    <t>142021</t>
  </si>
  <si>
    <t>8/20/2008</t>
  </si>
  <si>
    <t>142472</t>
  </si>
  <si>
    <t>63630</t>
  </si>
  <si>
    <t>109873</t>
  </si>
  <si>
    <t>3/11/1992</t>
  </si>
  <si>
    <t>136139</t>
  </si>
  <si>
    <t>2/28/1996</t>
  </si>
  <si>
    <t>139238</t>
  </si>
  <si>
    <t>10/1/2013</t>
  </si>
  <si>
    <t>136719</t>
  </si>
  <si>
    <t>9/3/1997</t>
  </si>
  <si>
    <t>139684</t>
  </si>
  <si>
    <t>11/12/2010</t>
  </si>
  <si>
    <t>139699</t>
  </si>
  <si>
    <t>8/27/1980</t>
  </si>
  <si>
    <t>136809</t>
  </si>
  <si>
    <t>3/29/2000</t>
  </si>
  <si>
    <t>139724</t>
  </si>
  <si>
    <t>8/21/1963</t>
  </si>
  <si>
    <t>139752</t>
  </si>
  <si>
    <t>6/21/1950</t>
  </si>
  <si>
    <t>139800</t>
  </si>
  <si>
    <t>1/28/1987</t>
  </si>
  <si>
    <t>139810</t>
  </si>
  <si>
    <t>137241</t>
  </si>
  <si>
    <t>139836</t>
  </si>
  <si>
    <t>9/2/1992</t>
  </si>
  <si>
    <t>139857</t>
  </si>
  <si>
    <t>7/22/1992</t>
  </si>
  <si>
    <t>139878</t>
  </si>
  <si>
    <t>8/21/1996</t>
  </si>
  <si>
    <t>3550</t>
  </si>
  <si>
    <t>139894</t>
  </si>
  <si>
    <t>Communication &amp; Strategic Sales</t>
  </si>
  <si>
    <t>1/30/1980</t>
  </si>
  <si>
    <t>3332</t>
  </si>
  <si>
    <t>139931</t>
  </si>
  <si>
    <t>139983</t>
  </si>
  <si>
    <t>4/30/1997</t>
  </si>
  <si>
    <t>140082</t>
  </si>
  <si>
    <t>7/11/2001</t>
  </si>
  <si>
    <t>140131</t>
  </si>
  <si>
    <t>140161</t>
  </si>
  <si>
    <t>140244</t>
  </si>
  <si>
    <t>12/4/2002</t>
  </si>
  <si>
    <t>140266</t>
  </si>
  <si>
    <t>10/23/2002</t>
  </si>
  <si>
    <t>137307</t>
  </si>
  <si>
    <t>140424</t>
  </si>
  <si>
    <t>140425</t>
  </si>
  <si>
    <t>1/15/2003</t>
  </si>
  <si>
    <t>140458</t>
  </si>
  <si>
    <t>7/2/2003</t>
  </si>
  <si>
    <t>140537</t>
  </si>
  <si>
    <t>137310</t>
  </si>
  <si>
    <t>137415</t>
  </si>
  <si>
    <t>140663</t>
  </si>
  <si>
    <t>3/8/2006</t>
  </si>
  <si>
    <t>140712</t>
  </si>
  <si>
    <t>140732</t>
  </si>
  <si>
    <t>7/21/2004</t>
  </si>
  <si>
    <t>137674</t>
  </si>
  <si>
    <t>1/27/1999</t>
  </si>
  <si>
    <t>137929</t>
  </si>
  <si>
    <t>11/14/2001</t>
  </si>
  <si>
    <t>140959</t>
  </si>
  <si>
    <t>3220</t>
  </si>
  <si>
    <t>140968</t>
  </si>
  <si>
    <t>140994</t>
  </si>
  <si>
    <t>10/13/2004</t>
  </si>
  <si>
    <t>137937</t>
  </si>
  <si>
    <t>3/27/2002</t>
  </si>
  <si>
    <t>141061</t>
  </si>
  <si>
    <t>11/22/2006</t>
  </si>
  <si>
    <t>138045</t>
  </si>
  <si>
    <t>141093</t>
  </si>
  <si>
    <t>8/10/2005</t>
  </si>
  <si>
    <t>141115</t>
  </si>
  <si>
    <t>138161</t>
  </si>
  <si>
    <t>10/3/2001</t>
  </si>
  <si>
    <t>138263</t>
  </si>
  <si>
    <t>10/1/2003</t>
  </si>
  <si>
    <t>141664</t>
  </si>
  <si>
    <t>141966</t>
  </si>
  <si>
    <t>8000</t>
  </si>
  <si>
    <t>138870</t>
  </si>
  <si>
    <t>138942</t>
  </si>
  <si>
    <t>12/24/2003</t>
  </si>
  <si>
    <t>2560</t>
  </si>
  <si>
    <t>142216</t>
  </si>
  <si>
    <t>142294</t>
  </si>
  <si>
    <t>6/29/2005</t>
  </si>
  <si>
    <t>142418</t>
  </si>
  <si>
    <t>7/23/1997</t>
  </si>
  <si>
    <t>139214</t>
  </si>
  <si>
    <t>4/28/2004</t>
  </si>
  <si>
    <t>140878</t>
  </si>
  <si>
    <t>140919</t>
  </si>
  <si>
    <t>142728</t>
  </si>
  <si>
    <t>6/20/2007</t>
  </si>
  <si>
    <t>142896</t>
  </si>
  <si>
    <t>6/7/2006</t>
  </si>
  <si>
    <t>142900</t>
  </si>
  <si>
    <t>1/3/2007</t>
  </si>
  <si>
    <t>143241</t>
  </si>
  <si>
    <t>9/21/2005</t>
  </si>
  <si>
    <t>143313</t>
  </si>
  <si>
    <t>143326</t>
  </si>
  <si>
    <t>143811</t>
  </si>
  <si>
    <t>12/15/1993</t>
  </si>
  <si>
    <t>143550</t>
  </si>
  <si>
    <t>1/25/2006</t>
  </si>
  <si>
    <t>143814</t>
  </si>
  <si>
    <t>147317</t>
  </si>
  <si>
    <t>3543</t>
  </si>
  <si>
    <t>1002</t>
  </si>
  <si>
    <t>139710</t>
  </si>
  <si>
    <t>5/4/1983</t>
  </si>
  <si>
    <t>3351</t>
  </si>
  <si>
    <t>140589</t>
  </si>
  <si>
    <t>3363</t>
  </si>
  <si>
    <t>101232</t>
  </si>
  <si>
    <t>8/22/2001</t>
  </si>
  <si>
    <t>145445</t>
  </si>
  <si>
    <t>146109</t>
  </si>
  <si>
    <t>11/15/1989</t>
  </si>
  <si>
    <t>3505</t>
  </si>
  <si>
    <t>147184</t>
  </si>
  <si>
    <t>147185</t>
  </si>
  <si>
    <t>10/3/2010</t>
  </si>
  <si>
    <t>147188</t>
  </si>
  <si>
    <t>12/4/2012</t>
  </si>
  <si>
    <t>147203</t>
  </si>
  <si>
    <t>5/30/2011</t>
  </si>
  <si>
    <t>147218</t>
  </si>
  <si>
    <t>147221</t>
  </si>
  <si>
    <t>147235</t>
  </si>
  <si>
    <t>143652</t>
  </si>
  <si>
    <t>147244</t>
  </si>
  <si>
    <t>147246</t>
  </si>
  <si>
    <t>1004</t>
  </si>
  <si>
    <t>147249</t>
  </si>
  <si>
    <t>147251</t>
  </si>
  <si>
    <t>2/4/2004</t>
  </si>
  <si>
    <t>147263</t>
  </si>
  <si>
    <t>147270</t>
  </si>
  <si>
    <t>1/1/1900</t>
  </si>
  <si>
    <t>147271</t>
  </si>
  <si>
    <t>2/25/1998</t>
  </si>
  <si>
    <t>147290</t>
  </si>
  <si>
    <t>9/13/2000</t>
  </si>
  <si>
    <t>147295</t>
  </si>
  <si>
    <t>147298</t>
  </si>
  <si>
    <t>1/5/2000</t>
  </si>
  <si>
    <t>147301</t>
  </si>
  <si>
    <t>147309</t>
  </si>
  <si>
    <t>9/23/1998</t>
  </si>
  <si>
    <t>135760</t>
  </si>
  <si>
    <t>3/29/1995</t>
  </si>
  <si>
    <t>2976</t>
  </si>
  <si>
    <t>143508</t>
  </si>
  <si>
    <t>147327</t>
  </si>
  <si>
    <t>147330</t>
  </si>
  <si>
    <t>Total Salary:</t>
  </si>
  <si>
    <t>Total:</t>
  </si>
  <si>
    <t>Average Salary:</t>
  </si>
  <si>
    <t>Average:</t>
  </si>
  <si>
    <t>Column1</t>
  </si>
  <si>
    <t>Column2</t>
  </si>
  <si>
    <t>Column3</t>
  </si>
  <si>
    <t>Column4</t>
  </si>
  <si>
    <t/>
  </si>
  <si>
    <t>IT Manager</t>
  </si>
  <si>
    <t>M</t>
  </si>
  <si>
    <t>Assistant</t>
  </si>
  <si>
    <t>F</t>
  </si>
  <si>
    <t>Head of IT</t>
  </si>
  <si>
    <t>Administrative Support</t>
  </si>
  <si>
    <t>IT Leader</t>
  </si>
  <si>
    <t>Plant Supervisor</t>
  </si>
  <si>
    <t>Plant Leader</t>
  </si>
  <si>
    <t>Director</t>
  </si>
  <si>
    <t>Plant Manager</t>
  </si>
  <si>
    <t>Plant Worker</t>
  </si>
  <si>
    <t>Marketing Senior Assistant</t>
  </si>
  <si>
    <t>Head of Marketing</t>
  </si>
  <si>
    <t>Finance Manager</t>
  </si>
  <si>
    <t>Senior Assistant</t>
  </si>
  <si>
    <t>Head of Support Services</t>
  </si>
  <si>
    <t>Team Leader</t>
  </si>
  <si>
    <t>Manager</t>
  </si>
  <si>
    <t>Marketing Assistant</t>
  </si>
  <si>
    <t>Human Resource Officer</t>
  </si>
  <si>
    <t>Sales Director</t>
  </si>
  <si>
    <t>Sales Leader</t>
  </si>
  <si>
    <t>Sales Manager</t>
  </si>
  <si>
    <t>Sales Assistance</t>
  </si>
  <si>
    <t>141915</t>
  </si>
  <si>
    <t>Marketing Manager</t>
  </si>
  <si>
    <t>143616</t>
  </si>
  <si>
    <t>CEO</t>
  </si>
  <si>
    <t>147282</t>
  </si>
  <si>
    <t>CFO</t>
  </si>
  <si>
    <t>Head of Finance</t>
  </si>
  <si>
    <t>Values</t>
  </si>
  <si>
    <t>(blank)</t>
  </si>
  <si>
    <t>Grand Total</t>
  </si>
  <si>
    <t>Count of Employee ID</t>
  </si>
  <si>
    <t>Average of Total Compensation</t>
  </si>
  <si>
    <t>Average of Tenure (years)</t>
  </si>
  <si>
    <t>#N/A</t>
  </si>
  <si>
    <t>Total Count of Employee ID</t>
  </si>
  <si>
    <t>Total Average of Total Compensation</t>
  </si>
  <si>
    <t>Total Average of Tenure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</si>
</sst>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9"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6"/>
      <color theme="1"/>
      <name val="Times New Roman"/>
    </font>
    <font>
      <sz val="12"/>
      <color theme="1"/>
      <name val="Times New Roman"/>
    </font>
    <font>
      <sz val="14"/>
      <color rgb="FF000000"/>
      <name val="Times New Roman"/>
    </font>
    <font>
      <sz val="14"/>
      <color theme="1"/>
      <name val="Times New Roman"/>
    </font>
    <font>
      <sz val="11"/>
      <color rgb="FF24242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theme="9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6" fontId="0" fillId="0" borderId="0" xfId="0" applyNumberFormat="1"/>
    <xf numFmtId="3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2" fontId="0" fillId="0" borderId="0" xfId="0" applyNumberFormat="1"/>
    <xf numFmtId="0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0" fillId="0" borderId="0" xfId="0" applyNumberFormat="1"/>
    <xf numFmtId="164" fontId="2" fillId="0" borderId="1" xfId="0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NumberFormat="1"/>
    <xf numFmtId="0" fontId="0" fillId="3" borderId="0" xfId="0" applyFill="1"/>
    <xf numFmtId="0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6" fillId="0" borderId="0" xfId="0" applyFont="1" applyAlignment="1">
      <alignment horizontal="left" vertical="center" readingOrder="1"/>
    </xf>
    <xf numFmtId="0" fontId="7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10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 wrapText="1" readingOrder="1"/>
    </xf>
  </cellXfs>
  <cellStyles count="1">
    <cellStyle name="Normal" xfId="0" builtinId="0"/>
  </cellStyles>
  <dxfs count="123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  <alignment horizontal="right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/>
    </dxf>
    <dxf>
      <numFmt numFmtId="0" formatCode="General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right" vertical="bottom" textRotation="0" wrapText="0" indent="0" justifyLastLine="0" shrinkToFit="0" readingOrder="0"/>
      <border diagonalUp="0" diagonalDown="0" outline="0">
        <left/>
        <right/>
        <top style="double">
          <color theme="9"/>
        </top>
        <bottom style="thin">
          <color theme="9" tint="0.39997558519241921"/>
        </bottom>
      </border>
    </dxf>
    <dxf>
      <numFmt numFmtId="164" formatCode="&quot;$&quot;#,##0.0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alignment horizontal="right" vertical="bottom" textRotation="0" wrapText="0" indent="0" justifyLastLine="0" shrinkToFit="0" readingOrder="0"/>
      <border diagonalUp="0" diagonalDown="0" outline="0">
        <left/>
        <right/>
        <top style="double">
          <color theme="9"/>
        </top>
        <bottom style="thin">
          <color theme="9" tint="0.39997558519241921"/>
        </bottom>
      </border>
    </dxf>
    <dxf>
      <numFmt numFmtId="164" formatCode="&quot;$&quot;#,##0.0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  <alignment horizontal="right" vertical="bottom" textRotation="0" wrapText="0" indent="0" justifyLastLine="0" shrinkToFit="0" readingOrder="0"/>
      <border diagonalUp="0" diagonalDown="0" outline="0">
        <left/>
        <right/>
        <top style="double">
          <color theme="9"/>
        </top>
        <bottom style="thin">
          <color theme="9" tint="0.39997558519241921"/>
        </bottom>
      </border>
    </dxf>
    <dxf>
      <numFmt numFmtId="0" formatCode="General"/>
      <alignment horizontal="right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/>
    </dxf>
    <dxf>
      <alignment horizontal="right" vertical="bottom" textRotation="0" wrapText="0" indent="0" justifyLastLine="0" shrinkToFit="0" readingOrder="0"/>
    </dxf>
    <dxf>
      <numFmt numFmtId="164" formatCode="&quot;$&quot;#,##0.0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</dxf>
    <dxf>
      <numFmt numFmtId="0" formatCode="General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right" vertical="bottom" textRotation="0" wrapText="0" indent="0" justifyLastLine="0" shrinkToFit="0" readingOrder="0"/>
    </dxf>
    <dxf>
      <numFmt numFmtId="0" formatCode="General"/>
      <alignment horizontal="right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/>
    </dxf>
    <dxf>
      <numFmt numFmtId="0" formatCode="General"/>
      <alignment horizontal="right"/>
    </dxf>
    <dxf>
      <numFmt numFmtId="0" formatCode="General"/>
      <alignment horizontal="right"/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[Chapter2_Assignment1_SGuo.xlsx]Pivot table 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Employees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2'!$B$2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2'!$A$3:$A$9</c:f>
              <c:strCache>
                <c:ptCount val="6"/>
                <c:pt idx="0">
                  <c:v>CT</c:v>
                </c:pt>
                <c:pt idx="1">
                  <c:v>NJ</c:v>
                </c:pt>
                <c:pt idx="2">
                  <c:v>NT</c:v>
                </c:pt>
                <c:pt idx="3">
                  <c:v>NY</c:v>
                </c:pt>
                <c:pt idx="4">
                  <c:v>WA</c:v>
                </c:pt>
                <c:pt idx="5">
                  <c:v>(blank)</c:v>
                </c:pt>
              </c:strCache>
            </c:strRef>
          </c:cat>
          <c:val>
            <c:numRef>
              <c:f>'Pivot table 2'!$B$3:$B$9</c:f>
              <c:numCache>
                <c:formatCode>General</c:formatCode>
                <c:ptCount val="6"/>
                <c:pt idx="0">
                  <c:v>41</c:v>
                </c:pt>
                <c:pt idx="1">
                  <c:v>84</c:v>
                </c:pt>
                <c:pt idx="2">
                  <c:v>1</c:v>
                </c:pt>
                <c:pt idx="3">
                  <c:v>56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0-4405-983C-DD7E3B27D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4984200"/>
        <c:axId val="455346696"/>
      </c:barChart>
      <c:catAx>
        <c:axId val="374984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46696"/>
        <c:crosses val="autoZero"/>
        <c:auto val="1"/>
        <c:lblAlgn val="ctr"/>
        <c:lblOffset val="100"/>
        <c:noMultiLvlLbl val="0"/>
      </c:catAx>
      <c:valAx>
        <c:axId val="45534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8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228600</xdr:colOff>
      <xdr:row>23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85BC2C-B8C7-AC37-C9F8-E7894100A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772286689818" createdVersion="8" refreshedVersion="8" minRefreshableVersion="3" recordCount="202" xr:uid="{08E71D8F-6678-4EFC-99A0-AB27A2531C15}">
  <cacheSource type="worksheet">
    <worksheetSource ref="A1:P203" sheet="Payroll Data"/>
  </cacheSource>
  <cacheFields count="16">
    <cacheField name="Employee ID" numFmtId="0">
      <sharedItems containsBlank="1"/>
    </cacheField>
    <cacheField name="Division" numFmtId="0">
      <sharedItems containsBlank="1"/>
    </cacheField>
    <cacheField name="Corrected Division" numFmtId="0">
      <sharedItems containsBlank="1"/>
    </cacheField>
    <cacheField name="Operating Unit" numFmtId="0">
      <sharedItems containsBlank="1" count="13">
        <s v="Tasty Biscuits"/>
        <s v="IT Services"/>
        <s v="Tasty Soups"/>
        <s v="Luxury Treats"/>
        <s v="Tasty Bizkits"/>
        <s v="Tasty Snacks Food"/>
        <s v="Marketing"/>
        <s v="Plant Support Services"/>
        <s v="Finance"/>
        <s v="Human Resources"/>
        <s v="Natural Health Foods"/>
        <s v="Communication &amp; Strategic Sales"/>
        <m/>
      </sharedItems>
    </cacheField>
    <cacheField name="Is Tasty (0/1)" numFmtId="0">
      <sharedItems containsMixedTypes="1" containsNumber="1" containsInteger="1" minValue="0" maxValue="1"/>
    </cacheField>
    <cacheField name="Salary" numFmtId="164">
      <sharedItems containsSemiMixedTypes="0" containsString="0" containsNumber="1" minValue="18015" maxValue="17680971.109999999"/>
    </cacheField>
    <cacheField name="State" numFmtId="0">
      <sharedItems containsBlank="1" count="6">
        <s v="NJ"/>
        <s v="NY"/>
        <s v="CT"/>
        <s v="WA"/>
        <s v="NT"/>
        <m/>
      </sharedItems>
    </cacheField>
    <cacheField name="Start Date" numFmtId="0">
      <sharedItems containsBlank="1"/>
    </cacheField>
    <cacheField name="Tenure (years)" numFmtId="0">
      <sharedItems containsString="0" containsBlank="1" containsNumber="1" containsInteger="1" minValue="13" maxValue="126"/>
    </cacheField>
    <cacheField name="Division2" numFmtId="0">
      <sharedItems containsBlank="1"/>
    </cacheField>
    <cacheField name="Dept" numFmtId="0">
      <sharedItems containsBlank="1"/>
    </cacheField>
    <cacheField name="Overtime Pay" numFmtId="164">
      <sharedItems containsMixedTypes="1" containsNumber="1" containsInteger="1" minValue="0" maxValue="68092"/>
    </cacheField>
    <cacheField name="Total Compensation" numFmtId="164">
      <sharedItems containsSemiMixedTypes="0" containsString="0" containsNumber="1" minValue="18015" maxValue="19095383.109999999"/>
    </cacheField>
    <cacheField name="Overtime %" numFmtId="10">
      <sharedItems containsString="0" containsBlank="1" containsNumber="1" minValue="0" maxValue="0.32458456874279012"/>
    </cacheField>
    <cacheField name="Job Title" numFmtId="0">
      <sharedItems containsBlank="1" count="28">
        <s v="Administrative Support"/>
        <s v="Assistant"/>
        <s v="Head of IT"/>
        <s v="IT Manager"/>
        <s v="Plant Supervisor"/>
        <s v="Plant Leader"/>
        <s v="Director"/>
        <s v="Plant Manager"/>
        <s v="Plant Worker"/>
        <s v="Head of Marketing"/>
        <s v="Finance Manager"/>
        <s v="Head of Finance"/>
        <s v="Human Resource Officer"/>
        <s v="IT Leader"/>
        <s v="Senior Assistant"/>
        <s v="Head of Support Services"/>
        <s v="Team Leader"/>
        <s v="Manager"/>
        <s v="Marketing Assistant"/>
        <s v="Marketing Manager"/>
        <s v="Marketing Senior Assistant"/>
        <s v="Sales Leader"/>
        <s v="Sales Assistance"/>
        <s v="Sales Director"/>
        <s v="Sales Manager"/>
        <s v="CEO"/>
        <e v="#N/A"/>
        <m/>
      </sharedItems>
    </cacheField>
    <cacheField name="Gend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s v="138311"/>
    <s v="Tasty New York"/>
    <s v="Tasty New Jersey"/>
    <x v="0"/>
    <n v="1"/>
    <n v="28334"/>
    <x v="0"/>
    <s v="4/18/2001"/>
    <n v="25"/>
    <s v="3350"/>
    <s v="2000"/>
    <n v="0"/>
    <n v="28334"/>
    <n v="0"/>
    <x v="0"/>
    <s v="F"/>
  </r>
  <r>
    <s v="390"/>
    <s v="Tasty New York"/>
    <s v="Tasty New York"/>
    <x v="1"/>
    <n v="0"/>
    <n v="56555"/>
    <x v="1"/>
    <s v="8/20/2011"/>
    <n v="15"/>
    <s v="3810"/>
    <s v="3000"/>
    <n v="0"/>
    <n v="56555"/>
    <n v="0"/>
    <x v="1"/>
    <s v="F"/>
  </r>
  <r>
    <s v="138661"/>
    <s v="Tasty New York"/>
    <s v="Tasty New Jersey"/>
    <x v="2"/>
    <n v="1"/>
    <n v="26887"/>
    <x v="0"/>
    <s v="6/19/2002"/>
    <n v="24"/>
    <s v="3364"/>
    <s v="2300"/>
    <n v="0"/>
    <n v="26887"/>
    <n v="0"/>
    <x v="0"/>
    <s v="M"/>
  </r>
  <r>
    <s v="138707"/>
    <s v="Tasty New York"/>
    <s v="Tasty New Jersey"/>
    <x v="2"/>
    <n v="1"/>
    <n v="29678.42"/>
    <x v="0"/>
    <s v="9/11/2002"/>
    <n v="24"/>
    <s v="3364"/>
    <s v="2500"/>
    <n v="0"/>
    <n v="29678.42"/>
    <n v="0"/>
    <x v="0"/>
    <s v="M"/>
  </r>
  <r>
    <s v="548"/>
    <s v="Tasty New York"/>
    <s v="Tasty New York"/>
    <x v="1"/>
    <n v="0"/>
    <n v="168449"/>
    <x v="2"/>
    <s v="1/17/1996"/>
    <n v="30"/>
    <s v="3810"/>
    <s v="5000"/>
    <n v="0"/>
    <n v="168449"/>
    <n v="0"/>
    <x v="2"/>
    <s v="M"/>
  </r>
  <r>
    <s v="574"/>
    <s v="Tasty New York"/>
    <s v="Tasty New York"/>
    <x v="1"/>
    <n v="0"/>
    <n v="38917"/>
    <x v="1"/>
    <s v="4/6/2005"/>
    <n v="21"/>
    <s v="3810"/>
    <s v="4000"/>
    <n v="0"/>
    <n v="38917"/>
    <n v="0"/>
    <x v="1"/>
    <s v="Administrative Support"/>
  </r>
  <r>
    <s v="601"/>
    <s v="Tasty New York"/>
    <s v="Tasty New York"/>
    <x v="1"/>
    <n v="0"/>
    <n v="79585"/>
    <x v="1"/>
    <s v="9/1/1999"/>
    <n v="27"/>
    <s v="3810"/>
    <s v="3000"/>
    <n v="0"/>
    <n v="79585"/>
    <n v="0"/>
    <x v="3"/>
    <s v="M"/>
  </r>
  <r>
    <s v="138795"/>
    <s v="Tasty New York"/>
    <s v="Tasty New Jersey"/>
    <x v="0"/>
    <n v="1"/>
    <n v="25990"/>
    <x v="0"/>
    <s v="7/11/2011"/>
    <n v="15"/>
    <s v="3338"/>
    <s v="2000"/>
    <n v="0"/>
    <n v="25990"/>
    <n v="0"/>
    <x v="0"/>
    <s v="F"/>
  </r>
  <r>
    <s v="52250"/>
    <s v="Tasty New York"/>
    <s v="Tasty New York"/>
    <x v="3"/>
    <n v="0"/>
    <n v="100507"/>
    <x v="2"/>
    <s v="2/28/1951"/>
    <n v="75"/>
    <s v="3360"/>
    <s v="5000"/>
    <n v="2010"/>
    <n v="102517"/>
    <n v="1.9606504287093849E-2"/>
    <x v="4"/>
    <s v="M"/>
  </r>
  <r>
    <s v="53024"/>
    <s v="Tasty New York"/>
    <s v="Tasty New York"/>
    <x v="3"/>
    <n v="0"/>
    <n v="193565"/>
    <x v="1"/>
    <s v="6/28/1967"/>
    <n v="59"/>
    <s v="3360"/>
    <s v="4000"/>
    <n v="29035"/>
    <n v="222600"/>
    <n v="0.13043575920934411"/>
    <x v="5"/>
    <s v="M"/>
  </r>
  <r>
    <s v="53725"/>
    <s v="Tasty New York"/>
    <s v="Tasty New York"/>
    <x v="0"/>
    <n v="1"/>
    <n v="186310"/>
    <x v="1"/>
    <s v="3/18/1959"/>
    <n v="67"/>
    <s v="3361"/>
    <s v="3000"/>
    <n v="0"/>
    <n v="186310"/>
    <n v="0"/>
    <x v="6"/>
    <s v="M"/>
  </r>
  <r>
    <s v="53873"/>
    <s v="Tasty New York"/>
    <s v="Tasty New York"/>
    <x v="3"/>
    <n v="0"/>
    <n v="108307"/>
    <x v="1"/>
    <s v="5/9/1962"/>
    <n v="64"/>
    <s v="3360"/>
    <s v="3000"/>
    <n v="0"/>
    <n v="108307"/>
    <n v="0"/>
    <x v="4"/>
    <s v="M"/>
  </r>
  <r>
    <s v="53725"/>
    <s v="Tasty New York"/>
    <s v="Tasty New York"/>
    <x v="0"/>
    <n v="1"/>
    <n v="186310"/>
    <x v="1"/>
    <s v="3/18/1959"/>
    <n v="67"/>
    <s v="3361"/>
    <s v="3000"/>
    <n v="0"/>
    <n v="186310"/>
    <n v="0"/>
    <x v="6"/>
    <s v="M"/>
  </r>
  <r>
    <s v="53725"/>
    <s v="Tasty New York"/>
    <s v="Tasty New York"/>
    <x v="0"/>
    <n v="1"/>
    <n v="186310"/>
    <x v="1"/>
    <s v="3/18/1959"/>
    <n v="67"/>
    <s v="3361"/>
    <s v="3000"/>
    <n v="0"/>
    <n v="186310"/>
    <n v="0"/>
    <x v="6"/>
    <s v="M"/>
  </r>
  <r>
    <s v="53921"/>
    <s v="Tasty New York"/>
    <s v="Tasty New York"/>
    <x v="3"/>
    <n v="0"/>
    <n v="111118"/>
    <x v="1"/>
    <s v="9/1/1954"/>
    <n v="72"/>
    <s v="3360"/>
    <s v="3000"/>
    <n v="16668"/>
    <n v="127786"/>
    <n v="0.13043682406523407"/>
    <x v="7"/>
    <s v="M"/>
  </r>
  <r>
    <s v="54133"/>
    <s v="Tasty New York"/>
    <s v="Tasty New York"/>
    <x v="4"/>
    <n v="1"/>
    <n v="72242"/>
    <x v="1"/>
    <s v="8/13/1958"/>
    <n v="68"/>
    <s v="3361"/>
    <s v="3000"/>
    <n v="14448"/>
    <n v="86690"/>
    <n v="0.16666282154804477"/>
    <x v="4"/>
    <s v="F"/>
  </r>
  <r>
    <s v="61908"/>
    <s v="Tasty New York"/>
    <s v="Tasty New York"/>
    <x v="3"/>
    <n v="0"/>
    <n v="39207.300000000003"/>
    <x v="2"/>
    <s v="3/14/1973"/>
    <n v="53"/>
    <s v="3360"/>
    <s v="5000"/>
    <n v="1960"/>
    <n v="41167.300000000003"/>
    <n v="4.7610603561564636E-2"/>
    <x v="8"/>
    <s v="M"/>
  </r>
  <r>
    <s v="63032"/>
    <s v="Tasty New York"/>
    <s v="Tasty New York"/>
    <x v="3"/>
    <n v="0"/>
    <n v="168154"/>
    <x v="1"/>
    <s v="2/13/1974"/>
    <n v="52"/>
    <s v="3360"/>
    <s v="4000"/>
    <n v="30268"/>
    <n v="198422"/>
    <n v="0.15254356875749664"/>
    <x v="7"/>
    <s v="M"/>
  </r>
  <r>
    <s v="141084"/>
    <s v="Tasty New York"/>
    <s v="Tasty New Jersey"/>
    <x v="2"/>
    <n v="1"/>
    <n v="23874.15"/>
    <x v="0"/>
    <s v="2/23/2005"/>
    <n v="21"/>
    <s v="3364"/>
    <s v="2500"/>
    <n v="0"/>
    <n v="23874.15"/>
    <n v="0"/>
    <x v="0"/>
    <s v="F"/>
  </r>
  <r>
    <s v="78018"/>
    <s v="Tasty New York"/>
    <s v="Tasty New York"/>
    <x v="3"/>
    <n v="0"/>
    <n v="299552"/>
    <x v="1"/>
    <s v="6/14/1978"/>
    <n v="48"/>
    <s v="3360"/>
    <s v="4000"/>
    <n v="0"/>
    <n v="299552"/>
    <n v="0"/>
    <x v="6"/>
    <s v="M"/>
  </r>
  <r>
    <s v="79912"/>
    <s v="Tasty New York"/>
    <s v="Tasty New York"/>
    <x v="3"/>
    <n v="0"/>
    <n v="83266"/>
    <x v="3"/>
    <s v="2/21/1979"/>
    <n v="47"/>
    <s v="3360"/>
    <s v="6000"/>
    <n v="12490"/>
    <n v="95756"/>
    <n v="0.13043569071389782"/>
    <x v="8"/>
    <s v="F"/>
  </r>
  <r>
    <s v="86077"/>
    <s v="Tasty New York"/>
    <s v="Tasty New Jersey"/>
    <x v="3"/>
    <n v="0"/>
    <n v="35414"/>
    <x v="0"/>
    <s v="1/18/1984"/>
    <n v="42"/>
    <s v="3360"/>
    <s v="7000"/>
    <n v="0"/>
    <n v="35414"/>
    <n v="0"/>
    <x v="0"/>
    <s v="F"/>
  </r>
  <r>
    <s v="86134"/>
    <s v="Tasty New York"/>
    <s v="Tasty New York"/>
    <x v="0"/>
    <n v="1"/>
    <n v="134816"/>
    <x v="1"/>
    <s v="6/24/1981"/>
    <n v="45"/>
    <s v="3338"/>
    <s v="1005"/>
    <n v="18874"/>
    <n v="153690"/>
    <n v="0.12280564773244844"/>
    <x v="7"/>
    <s v="M"/>
  </r>
  <r>
    <s v="142697"/>
    <s v="Tasty New York"/>
    <s v="Tasty New Jersey"/>
    <x v="2"/>
    <n v="1"/>
    <n v="26745"/>
    <x v="0"/>
    <s v="4/19/2006"/>
    <n v="20"/>
    <s v="3364"/>
    <s v="2500"/>
    <n v="0"/>
    <n v="26745"/>
    <n v="0"/>
    <x v="0"/>
    <s v="M"/>
  </r>
  <r>
    <s v="432"/>
    <s v="Tasty New York"/>
    <s v="Tasty New Jersey"/>
    <x v="1"/>
    <n v="0"/>
    <n v="38458"/>
    <x v="0"/>
    <s v="4/18/2001"/>
    <n v="25"/>
    <s v="3810"/>
    <s v="2000"/>
    <n v="0"/>
    <n v="38458"/>
    <n v="0"/>
    <x v="1"/>
    <s v="F"/>
  </r>
  <r>
    <s v="95088"/>
    <s v="Tasty New York"/>
    <s v="Tasty New York"/>
    <x v="2"/>
    <n v="1"/>
    <n v="138721"/>
    <x v="1"/>
    <s v="2/10/1988"/>
    <n v="38"/>
    <s v="3501"/>
    <s v="3000"/>
    <n v="0"/>
    <n v="138721"/>
    <n v="0"/>
    <x v="6"/>
    <s v="M"/>
  </r>
  <r>
    <s v="95284"/>
    <s v="Tasty New York"/>
    <s v="Tasty New York"/>
    <x v="5"/>
    <n v="1"/>
    <n v="123906"/>
    <x v="1"/>
    <s v="6/12/1985"/>
    <n v="41"/>
    <s v="3339"/>
    <s v="3152"/>
    <n v="18586"/>
    <n v="142492"/>
    <n v="0.13043539286416078"/>
    <x v="7"/>
    <s v="M"/>
  </r>
  <r>
    <s v="98249"/>
    <s v="Tasty New York"/>
    <s v="Tasty New York"/>
    <x v="3"/>
    <n v="0"/>
    <n v="69237"/>
    <x v="2"/>
    <s v="9/19/1979"/>
    <n v="47"/>
    <s v="3360"/>
    <s v="1600"/>
    <n v="10386"/>
    <n v="79623"/>
    <n v="0.13043969707245395"/>
    <x v="8"/>
    <s v="M"/>
  </r>
  <r>
    <s v="98427"/>
    <s v="Tasty New York"/>
    <s v="Tasty New York"/>
    <x v="6"/>
    <n v="0"/>
    <n v="137842"/>
    <x v="1"/>
    <s v="9/24/1958"/>
    <n v="68"/>
    <s v="3352"/>
    <s v="1001"/>
    <n v="0"/>
    <n v="137842"/>
    <n v="0"/>
    <x v="9"/>
    <s v="F"/>
  </r>
  <r>
    <s v="100162"/>
    <s v="Tasty New York"/>
    <s v="Tasty New York"/>
    <x v="5"/>
    <n v="1"/>
    <n v="80716"/>
    <x v="3"/>
    <s v="6/3/1987"/>
    <n v="39"/>
    <s v="3340"/>
    <s v="2150"/>
    <n v="11300"/>
    <n v="92016"/>
    <n v="0.12280472961224136"/>
    <x v="4"/>
    <s v="M"/>
  </r>
  <r>
    <s v="536"/>
    <s v="Tasty New York"/>
    <s v="Tasty New Jersey"/>
    <x v="1"/>
    <n v="0"/>
    <n v="45498"/>
    <x v="0"/>
    <s v="7/19/2006"/>
    <n v="20"/>
    <s v="3810"/>
    <s v="2000"/>
    <n v="0"/>
    <n v="45498"/>
    <n v="0"/>
    <x v="1"/>
    <s v="M"/>
  </r>
  <r>
    <s v="100402"/>
    <s v="Tasty New York"/>
    <s v="Tasty New York"/>
    <x v="5"/>
    <n v="1"/>
    <n v="106290"/>
    <x v="3"/>
    <s v="3/19/1997"/>
    <n v="29"/>
    <s v="3340"/>
    <s v="2150"/>
    <n v="15944"/>
    <n v="122234"/>
    <n v="0.1304383395781861"/>
    <x v="7"/>
    <s v="F"/>
  </r>
  <r>
    <s v="126713"/>
    <s v="Tasty New York"/>
    <s v="Tasty New Jersey"/>
    <x v="7"/>
    <n v="0"/>
    <n v="40113"/>
    <x v="0"/>
    <s v="10/7/1987"/>
    <n v="39"/>
    <s v="3344"/>
    <s v="3000"/>
    <n v="0"/>
    <n v="40113"/>
    <n v="0"/>
    <x v="1"/>
    <s v="M"/>
  </r>
  <r>
    <s v="137699"/>
    <s v="Tasty New York"/>
    <s v="Tasty New Jersey"/>
    <x v="8"/>
    <n v="0"/>
    <n v="39780"/>
    <x v="0"/>
    <s v="12/26/2001"/>
    <n v="25"/>
    <s v="3310"/>
    <s v="2000"/>
    <n v="0"/>
    <n v="39780"/>
    <n v="0"/>
    <x v="1"/>
    <s v="F"/>
  </r>
  <r>
    <s v="138375"/>
    <s v="Tasty New York"/>
    <s v="Tasty New Jersey"/>
    <x v="7"/>
    <n v="0"/>
    <n v="52385"/>
    <x v="0"/>
    <s v="2/26/2003"/>
    <n v="23"/>
    <s v="3344"/>
    <s v="1001"/>
    <n v="0"/>
    <n v="52385"/>
    <n v="0"/>
    <x v="1"/>
    <s v="F"/>
  </r>
  <r>
    <s v="147366"/>
    <s v="Tasty New York"/>
    <s v="Tasty New Jersey"/>
    <x v="5"/>
    <n v="1"/>
    <n v="749564"/>
    <x v="0"/>
    <s v="8/2/2013"/>
    <n v="13"/>
    <s v="3342"/>
    <s v="1001"/>
    <n v="0"/>
    <n v="749564"/>
    <n v="0"/>
    <x v="6"/>
    <s v="F"/>
  </r>
  <r>
    <s v="100522"/>
    <s v="Tasty New York"/>
    <s v="Tasty New Jersey"/>
    <x v="5"/>
    <n v="1"/>
    <n v="171600"/>
    <x v="0"/>
    <s v="3/10/1999"/>
    <n v="27"/>
    <s v="3340"/>
    <s v="2150"/>
    <n v="0"/>
    <n v="171600"/>
    <n v="0"/>
    <x v="6"/>
    <s v="M"/>
  </r>
  <r>
    <s v="103910"/>
    <s v="Tasty New York"/>
    <s v="Tasty New York"/>
    <x v="3"/>
    <n v="0"/>
    <n v="234050"/>
    <x v="1"/>
    <s v="9/17/1986"/>
    <n v="40"/>
    <s v="3360"/>
    <s v="3000"/>
    <n v="0"/>
    <n v="234050"/>
    <n v="0"/>
    <x v="6"/>
    <s v="M"/>
  </r>
  <r>
    <s v="100622"/>
    <s v="Tasty New York"/>
    <s v="Tasty New Jersey"/>
    <x v="8"/>
    <n v="0"/>
    <n v="100272"/>
    <x v="0"/>
    <s v="9/1/1999"/>
    <n v="27"/>
    <s v="3310"/>
    <s v="2000"/>
    <n v="0"/>
    <n v="100272"/>
    <n v="0"/>
    <x v="10"/>
    <s v="F"/>
  </r>
  <r>
    <s v="147316"/>
    <s v="Tasty New York"/>
    <s v="Tasty New Jersey"/>
    <x v="8"/>
    <n v="0"/>
    <n v="173317"/>
    <x v="0"/>
    <s v="10/25/1995"/>
    <n v="31"/>
    <s v="3310"/>
    <s v="2000"/>
    <n v="0"/>
    <n v="173317"/>
    <n v="0"/>
    <x v="11"/>
    <s v="M"/>
  </r>
  <r>
    <s v="139524"/>
    <s v="Tasty New York"/>
    <s v="Tasty New Jersey"/>
    <x v="9"/>
    <n v="0"/>
    <n v="80350"/>
    <x v="0"/>
    <s v="6/9/2004"/>
    <n v="22"/>
    <s v="3314"/>
    <s v="2000"/>
    <n v="0"/>
    <n v="80350"/>
    <n v="0"/>
    <x v="12"/>
    <s v="F"/>
  </r>
  <r>
    <s v="648"/>
    <s v="Tasty New York"/>
    <s v="Tasty New Jersey"/>
    <x v="1"/>
    <n v="0"/>
    <n v="121422"/>
    <x v="0"/>
    <s v="8/30/2006"/>
    <n v="20"/>
    <s v="3810"/>
    <s v="3000"/>
    <n v="0"/>
    <n v="121422"/>
    <n v="0"/>
    <x v="13"/>
    <s v="F"/>
  </r>
  <r>
    <s v="113834"/>
    <s v="Tasty New York"/>
    <s v="Tasty New York"/>
    <x v="0"/>
    <n v="1"/>
    <n v="43249"/>
    <x v="3"/>
    <s v="10/17/1990"/>
    <n v="36"/>
    <s v="3361"/>
    <s v="6000"/>
    <n v="6487"/>
    <n v="49736"/>
    <n v="0.13042866334244813"/>
    <x v="8"/>
    <s v="F"/>
  </r>
  <r>
    <s v="113991"/>
    <s v="Tasty New York"/>
    <s v="Tasty New York"/>
    <x v="1"/>
    <n v="0"/>
    <n v="71873"/>
    <x v="1"/>
    <s v="8/23/1989"/>
    <n v="37"/>
    <s v="3318"/>
    <s v="2127"/>
    <n v="0"/>
    <n v="71873"/>
    <n v="0"/>
    <x v="14"/>
    <s v="M"/>
  </r>
  <r>
    <s v="136266"/>
    <s v="Tasty New York"/>
    <s v="Tasty New Jersey"/>
    <x v="1"/>
    <n v="0"/>
    <n v="120371"/>
    <x v="0"/>
    <s v="5/20/1998"/>
    <n v="28"/>
    <s v="3318"/>
    <s v="2127"/>
    <n v="0"/>
    <n v="120371"/>
    <n v="0"/>
    <x v="13"/>
    <s v="M"/>
  </r>
  <r>
    <s v="117681"/>
    <s v="Tasty New York"/>
    <s v="Tasty New York"/>
    <x v="3"/>
    <n v="0"/>
    <n v="184963"/>
    <x v="1"/>
    <s v="9/5/1990"/>
    <n v="36"/>
    <s v="3360"/>
    <s v="3000"/>
    <n v="29594"/>
    <n v="214557"/>
    <n v="0.13793071305061125"/>
    <x v="5"/>
    <s v="M"/>
  </r>
  <r>
    <s v="120766"/>
    <s v="Tasty New York"/>
    <s v="Tasty New York"/>
    <x v="2"/>
    <n v="1"/>
    <n v="112294"/>
    <x v="2"/>
    <s v="8/14/1991"/>
    <n v="35"/>
    <s v="3508"/>
    <s v="5000"/>
    <n v="11229"/>
    <n v="123523"/>
    <n v="9.0906147033346013E-2"/>
    <x v="5"/>
    <s v="M"/>
  </r>
  <r>
    <s v="123477"/>
    <s v="Tasty New York"/>
    <s v="Tasty New York"/>
    <x v="3"/>
    <n v="0"/>
    <n v="141672"/>
    <x v="2"/>
    <s v="10/14/1992"/>
    <n v="34"/>
    <s v="3360"/>
    <s v="5000"/>
    <n v="8500"/>
    <n v="150172"/>
    <n v="5.6601763311402924E-2"/>
    <x v="7"/>
    <s v="M"/>
  </r>
  <r>
    <s v="383"/>
    <s v="Tasty New York"/>
    <s v="Tasty New York"/>
    <x v="1"/>
    <n v="0"/>
    <n v="76752"/>
    <x v="4"/>
    <s v="2/4/2012"/>
    <n v="14"/>
    <s v="3810"/>
    <s v="2000"/>
    <n v="0"/>
    <n v="76752"/>
    <n v="0"/>
    <x v="3"/>
    <s v="M"/>
  </r>
  <r>
    <s v="126919"/>
    <s v="Tasty New York"/>
    <s v="Tasty New York"/>
    <x v="7"/>
    <n v="0"/>
    <n v="175052"/>
    <x v="1"/>
    <s v="7/27/1983"/>
    <n v="43"/>
    <s v="3344"/>
    <s v="1001"/>
    <n v="0"/>
    <n v="175052"/>
    <n v="0"/>
    <x v="15"/>
    <s v="F"/>
  </r>
  <r>
    <s v="126946"/>
    <s v="Tasty New York"/>
    <s v="Tasty New York"/>
    <x v="1"/>
    <n v="0"/>
    <n v="129273"/>
    <x v="1"/>
    <s v="7/6/1977"/>
    <n v="49"/>
    <s v="3318"/>
    <s v="2127"/>
    <n v="0"/>
    <n v="129273"/>
    <n v="0"/>
    <x v="13"/>
    <s v="F"/>
  </r>
  <r>
    <s v="127242"/>
    <s v="Tasty New York"/>
    <s v="Tasty New York"/>
    <x v="7"/>
    <n v="0"/>
    <n v="60733.95"/>
    <x v="1"/>
    <s v="12/27/1989"/>
    <n v="37"/>
    <s v="3344"/>
    <s v="3934"/>
    <n v="0"/>
    <n v="60733.95"/>
    <n v="0"/>
    <x v="14"/>
    <s v="F"/>
  </r>
  <r>
    <s v="127345"/>
    <s v="Tasty New York"/>
    <s v="Tasty New York"/>
    <x v="7"/>
    <n v="0"/>
    <n v="156180"/>
    <x v="1"/>
    <s v="7/5/1989"/>
    <n v="37"/>
    <s v="3344"/>
    <s v="3934"/>
    <n v="0"/>
    <n v="156180"/>
    <n v="0"/>
    <x v="16"/>
    <s v="M"/>
  </r>
  <r>
    <s v="131070"/>
    <s v="Tasty New York"/>
    <s v="Tasty New York"/>
    <x v="0"/>
    <n v="1"/>
    <n v="87979"/>
    <x v="2"/>
    <s v="1/26/1994"/>
    <n v="32"/>
    <s v="3361"/>
    <s v="1600"/>
    <n v="12317"/>
    <n v="100296"/>
    <n v="0.12280649278136715"/>
    <x v="4"/>
    <s v="F"/>
  </r>
  <r>
    <s v="133926"/>
    <s v="Tasty New York"/>
    <s v="Tasty New York"/>
    <x v="0"/>
    <n v="1"/>
    <n v="45619"/>
    <x v="3"/>
    <s v="1/17/1996"/>
    <n v="30"/>
    <s v="3361"/>
    <s v="6000"/>
    <n v="7299"/>
    <n v="52918"/>
    <n v="0.13793038285649495"/>
    <x v="8"/>
    <s v="M"/>
  </r>
  <r>
    <s v="136281"/>
    <s v="Tasty New York"/>
    <s v="Tasty New Jersey"/>
    <x v="1"/>
    <n v="0"/>
    <n v="87718"/>
    <x v="0"/>
    <s v="6/9/1999"/>
    <n v="27"/>
    <s v="3318"/>
    <s v="2127"/>
    <n v="0"/>
    <n v="87718"/>
    <n v="0"/>
    <x v="3"/>
    <s v="M"/>
  </r>
  <r>
    <s v="134633"/>
    <s v="Tasty New York"/>
    <s v="Tasty New York"/>
    <x v="4"/>
    <n v="1"/>
    <n v="76331"/>
    <x v="2"/>
    <s v="12/28/1994"/>
    <n v="32"/>
    <s v="3361"/>
    <s v="5000"/>
    <n v="6106"/>
    <n v="82437"/>
    <n v="7.4068682751677037E-2"/>
    <x v="4"/>
    <s v="M"/>
  </r>
  <r>
    <s v="134017"/>
    <s v="Tasty New York"/>
    <s v="Tasty New Jersey"/>
    <x v="7"/>
    <n v="0"/>
    <n v="115101"/>
    <x v="0"/>
    <s v="7/3/1996"/>
    <n v="30"/>
    <s v="3343"/>
    <s v="2000"/>
    <n v="0"/>
    <n v="115101"/>
    <n v="0"/>
    <x v="17"/>
    <s v="M"/>
  </r>
  <r>
    <s v="135961"/>
    <s v="Tasty New York"/>
    <s v="Tasty New York"/>
    <x v="3"/>
    <n v="0"/>
    <n v="145025"/>
    <x v="2"/>
    <s v="10/25/1995"/>
    <n v="31"/>
    <s v="3360"/>
    <s v="1600"/>
    <n v="21754"/>
    <n v="166779"/>
    <n v="0.13043608607798343"/>
    <x v="7"/>
    <s v="M"/>
  </r>
  <r>
    <s v="134017"/>
    <s v="Tasty New York"/>
    <s v="Tasty New Jersey"/>
    <x v="7"/>
    <n v="0"/>
    <n v="115101"/>
    <x v="0"/>
    <s v="7/3/1996"/>
    <n v="30"/>
    <s v="3343"/>
    <s v="2000"/>
    <n v="0"/>
    <n v="115101"/>
    <n v="0"/>
    <x v="17"/>
    <s v="M"/>
  </r>
  <r>
    <s v="138374"/>
    <s v="Tasty New York"/>
    <s v="Tasty New Jersey"/>
    <x v="6"/>
    <n v="0"/>
    <n v="49609"/>
    <x v="0"/>
    <s v="5/8/2002"/>
    <n v="24"/>
    <s v="3352"/>
    <s v="2000"/>
    <n v="0"/>
    <n v="49609"/>
    <n v="0"/>
    <x v="18"/>
    <s v="F"/>
  </r>
  <r>
    <s v="139221"/>
    <s v="Tasty New York"/>
    <s v="Tasty New Jersey"/>
    <x v="6"/>
    <n v="0"/>
    <n v="26116"/>
    <x v="0"/>
    <s v="9/1/2004"/>
    <n v="22"/>
    <s v="3352"/>
    <s v="2000"/>
    <n v="0"/>
    <n v="26116"/>
    <n v="0"/>
    <x v="18"/>
    <s v="F"/>
  </r>
  <r>
    <s v="142534"/>
    <s v="Tasty New York"/>
    <s v="Tasty New Jersey"/>
    <x v="6"/>
    <n v="0"/>
    <n v="109561"/>
    <x v="0"/>
    <s v="4/6/2005"/>
    <n v="21"/>
    <s v="3352"/>
    <s v="1001"/>
    <n v="0"/>
    <n v="109561"/>
    <n v="0"/>
    <x v="19"/>
    <s v="F"/>
  </r>
  <r>
    <s v="92386"/>
    <s v="Tasty New York"/>
    <s v="Tasty New Jersey"/>
    <x v="6"/>
    <n v="0"/>
    <n v="66402.210000000006"/>
    <x v="0"/>
    <s v="9/26/1984"/>
    <n v="42"/>
    <s v="3352"/>
    <s v="2000"/>
    <n v="0"/>
    <n v="66402.210000000006"/>
    <n v="0"/>
    <x v="20"/>
    <s v="F"/>
  </r>
  <r>
    <s v="136514"/>
    <s v="Tasty New York"/>
    <s v="Tasty New York"/>
    <x v="0"/>
    <n v="1"/>
    <n v="46210"/>
    <x v="3"/>
    <s v="5/21/2013"/>
    <n v="13"/>
    <s v="3361"/>
    <s v="6000"/>
    <n v="6932"/>
    <n v="53142"/>
    <n v="0.13044296413383011"/>
    <x v="8"/>
    <s v="M"/>
  </r>
  <r>
    <s v="110662"/>
    <s v="Tasty New York"/>
    <s v="Tasty New Jersey"/>
    <x v="5"/>
    <n v="1"/>
    <n v="163752"/>
    <x v="0"/>
    <s v="8/25/1982"/>
    <n v="44"/>
    <s v="3340"/>
    <s v="2150"/>
    <n v="37663"/>
    <n v="201415"/>
    <n v="0.18699203137800063"/>
    <x v="5"/>
    <s v="M"/>
  </r>
  <r>
    <s v="136731"/>
    <s v="Tasty New York"/>
    <s v="Tasty New York"/>
    <x v="0"/>
    <n v="1"/>
    <n v="23914"/>
    <x v="3"/>
    <s v="11/24/1999"/>
    <n v="27"/>
    <s v="3361"/>
    <s v="6000"/>
    <n v="0"/>
    <n v="23914"/>
    <n v="0"/>
    <x v="0"/>
    <s v="F"/>
  </r>
  <r>
    <s v="140363"/>
    <s v="Tasty New York"/>
    <s v="Tasty New Jersey"/>
    <x v="0"/>
    <n v="1"/>
    <n v="141690"/>
    <x v="0"/>
    <s v="4/6/2005"/>
    <n v="21"/>
    <s v="3312"/>
    <s v="2000"/>
    <n v="68092"/>
    <n v="209782"/>
    <n v="0.32458456874279012"/>
    <x v="5"/>
    <s v="M"/>
  </r>
  <r>
    <s v="136929"/>
    <s v="Tasty New York"/>
    <s v="Tasty New York"/>
    <x v="0"/>
    <n v="1"/>
    <n v="47927"/>
    <x v="3"/>
    <s v="4/8/1998"/>
    <n v="28"/>
    <s v="3338"/>
    <s v="6000"/>
    <n v="5751"/>
    <n v="53678"/>
    <n v="0.10713886508439212"/>
    <x v="8"/>
    <s v="M"/>
  </r>
  <r>
    <s v="136174"/>
    <s v="Tasty New York"/>
    <s v="Tasty New Jersey"/>
    <x v="2"/>
    <n v="1"/>
    <n v="53089"/>
    <x v="0"/>
    <s v="11/26/1997"/>
    <n v="29"/>
    <s v="3364"/>
    <s v="2000"/>
    <n v="12210"/>
    <n v="65299"/>
    <n v="0.18698601816260585"/>
    <x v="7"/>
    <s v="M"/>
  </r>
  <r>
    <s v="137080"/>
    <s v="Tasty New York"/>
    <s v="Tasty New York"/>
    <x v="5"/>
    <n v="1"/>
    <n v="110844"/>
    <x v="2"/>
    <s v="1/10/1979"/>
    <n v="47"/>
    <s v="3339"/>
    <s v="2000"/>
    <n v="8868"/>
    <n v="119712"/>
    <n v="7.4077786688051317E-2"/>
    <x v="7"/>
    <s v="F"/>
  </r>
  <r>
    <s v="137108"/>
    <s v="Tasty New York"/>
    <s v="Tasty New York"/>
    <x v="0"/>
    <n v="1"/>
    <n v="150986"/>
    <x v="1"/>
    <s v="6/22/1988"/>
    <n v="38"/>
    <s v="3361"/>
    <s v="3000"/>
    <n v="0"/>
    <n v="150986"/>
    <n v="0"/>
    <x v="6"/>
    <s v="M"/>
  </r>
  <r>
    <s v="137171"/>
    <s v="Tasty New York"/>
    <s v="Tasty New York"/>
    <x v="5"/>
    <n v="1"/>
    <n v="20193"/>
    <x v="1"/>
    <s v="3/19/1997"/>
    <n v="29"/>
    <s v="3339"/>
    <s v="3152"/>
    <n v="0"/>
    <n v="20193"/>
    <n v="0"/>
    <x v="0"/>
    <s v="F"/>
  </r>
  <r>
    <s v="137253"/>
    <s v="Tasty New York"/>
    <s v="Tasty New Jersey"/>
    <x v="2"/>
    <n v="1"/>
    <n v="53062"/>
    <x v="0"/>
    <s v="7/1/1998"/>
    <n v="28"/>
    <s v="3310"/>
    <s v="2000"/>
    <n v="14857"/>
    <n v="67919"/>
    <n v="0.2187458590379717"/>
    <x v="7"/>
    <s v="M"/>
  </r>
  <r>
    <s v="137809"/>
    <s v="Tasty New York"/>
    <s v="Tasty New Jersey"/>
    <x v="2"/>
    <n v="1"/>
    <n v="59002"/>
    <x v="0"/>
    <s v="6/21/2000"/>
    <n v="26"/>
    <s v="3364"/>
    <s v="2150"/>
    <n v="15341"/>
    <n v="74343"/>
    <n v="0.20635433060274672"/>
    <x v="7"/>
    <s v="F"/>
  </r>
  <r>
    <s v="140546"/>
    <s v="Tasty New York"/>
    <s v="Tasty New Jersey"/>
    <x v="2"/>
    <n v="1"/>
    <n v="89732"/>
    <x v="0"/>
    <s v="7/31/2002"/>
    <n v="24"/>
    <s v="3364"/>
    <s v="2000"/>
    <n v="21536"/>
    <n v="111268"/>
    <n v="0.19355070640255959"/>
    <x v="7"/>
    <s v="F"/>
  </r>
  <r>
    <s v="141056"/>
    <s v="Tasty New York"/>
    <s v="Tasty New Jersey"/>
    <x v="2"/>
    <n v="1"/>
    <n v="74297"/>
    <x v="0"/>
    <s v="1/12/2005"/>
    <n v="21"/>
    <s v="3364"/>
    <s v="2000"/>
    <n v="23032"/>
    <n v="97329"/>
    <n v="0.2366406723587009"/>
    <x v="7"/>
    <s v="F"/>
  </r>
  <r>
    <s v="141558"/>
    <s v="Tasty New York"/>
    <s v="Tasty New Jersey"/>
    <x v="2"/>
    <n v="1"/>
    <n v="70209"/>
    <x v="0"/>
    <s v="12/14/2005"/>
    <n v="21"/>
    <s v="3364"/>
    <s v="2150"/>
    <n v="19659"/>
    <n v="89868"/>
    <n v="0.21875417278675391"/>
    <x v="7"/>
    <s v="F"/>
  </r>
  <r>
    <s v="142071"/>
    <s v="Tasty New York"/>
    <s v="Tasty New Jersey"/>
    <x v="2"/>
    <n v="1"/>
    <n v="53666"/>
    <x v="0"/>
    <s v="10/11/2006"/>
    <n v="20"/>
    <s v="3310"/>
    <s v="2000"/>
    <n v="13417"/>
    <n v="67083"/>
    <n v="0.2000059627625479"/>
    <x v="7"/>
    <s v="M"/>
  </r>
  <r>
    <s v="137666"/>
    <s v="Tasty New York"/>
    <s v="Tasty New York"/>
    <x v="0"/>
    <n v="1"/>
    <n v="130646"/>
    <x v="1"/>
    <s v="8/5/1981"/>
    <n v="45"/>
    <s v="3349"/>
    <s v="1001"/>
    <n v="19597"/>
    <n v="150243"/>
    <n v="0.13043536138122908"/>
    <x v="7"/>
    <s v="F"/>
  </r>
  <r>
    <s v="143940"/>
    <s v="Tasty New York"/>
    <s v="Tasty New Jersey"/>
    <x v="2"/>
    <n v="1"/>
    <n v="54424"/>
    <x v="0"/>
    <s v="3/28/2007"/>
    <n v="19"/>
    <s v="3364"/>
    <s v="2000"/>
    <n v="10885"/>
    <n v="65309"/>
    <n v="0.1666692186375538"/>
    <x v="7"/>
    <s v="M"/>
  </r>
  <r>
    <s v="137680"/>
    <s v="Tasty New York"/>
    <s v="Tasty New York"/>
    <x v="0"/>
    <n v="1"/>
    <n v="46318"/>
    <x v="1"/>
    <s v="7/21/1999"/>
    <n v="27"/>
    <s v="3349"/>
    <s v="1001"/>
    <n v="6948"/>
    <n v="53266"/>
    <n v="0.13043968009612136"/>
    <x v="8"/>
    <s v="M"/>
  </r>
  <r>
    <s v="137685"/>
    <s v="Tasty New York"/>
    <s v="Tasty New York"/>
    <x v="0"/>
    <n v="1"/>
    <n v="148824"/>
    <x v="2"/>
    <s v="1/6/1993"/>
    <n v="33"/>
    <s v="3349"/>
    <s v="5000"/>
    <n v="11906"/>
    <n v="160730"/>
    <n v="7.4074534934361974E-2"/>
    <x v="5"/>
    <s v="F"/>
  </r>
  <r>
    <s v="144564"/>
    <s v="Tasty New York"/>
    <s v="Tasty New Jersey"/>
    <x v="2"/>
    <n v="1"/>
    <n v="67980"/>
    <x v="0"/>
    <s v="8/20/2003"/>
    <n v="23"/>
    <s v="3364"/>
    <s v="2480"/>
    <n v="12236"/>
    <n v="80216"/>
    <n v="0.15253814700309165"/>
    <x v="7"/>
    <s v="M"/>
  </r>
  <r>
    <s v="137752"/>
    <s v="Tasty New York"/>
    <s v="Tasty New York"/>
    <x v="4"/>
    <n v="1"/>
    <n v="112671"/>
    <x v="2"/>
    <s v="6/21/2000"/>
    <n v="26"/>
    <s v="3361"/>
    <s v="1600"/>
    <n v="20281"/>
    <n v="132952"/>
    <n v="0.15254377519706361"/>
    <x v="7"/>
    <s v="F"/>
  </r>
  <r>
    <s v="94401"/>
    <s v="Tasty New York"/>
    <s v="Tasty New Jersey"/>
    <x v="2"/>
    <n v="1"/>
    <n v="49462"/>
    <x v="0"/>
    <s v="1/8/1986"/>
    <n v="40"/>
    <s v="3364"/>
    <s v="2300"/>
    <n v="11376"/>
    <n v="60838"/>
    <n v="0.18698839541076301"/>
    <x v="4"/>
    <s v="F"/>
  </r>
  <r>
    <s v="137818"/>
    <s v="Tasty New York"/>
    <s v="Tasty New York"/>
    <x v="0"/>
    <n v="1"/>
    <n v="20717"/>
    <x v="3"/>
    <s v="11/1/2000"/>
    <n v="26"/>
    <s v="3361"/>
    <s v="6000"/>
    <n v="0"/>
    <n v="20717"/>
    <n v="0"/>
    <x v="0"/>
    <s v="F"/>
  </r>
  <r>
    <s v="137920"/>
    <s v="Tasty New York"/>
    <s v="Tasty New York"/>
    <x v="2"/>
    <n v="1"/>
    <n v="82201"/>
    <x v="1"/>
    <s v="5/30/2001"/>
    <n v="25"/>
    <s v="3310"/>
    <s v="2000"/>
    <n v="12330"/>
    <n v="94531"/>
    <n v="0.13043340279908178"/>
    <x v="7"/>
    <s v="F"/>
  </r>
  <r>
    <s v="100212"/>
    <s v="Tasty New York"/>
    <s v="Tasty New Jersey"/>
    <x v="5"/>
    <n v="1"/>
    <n v="93720"/>
    <x v="0"/>
    <s v="6/11/1997"/>
    <n v="29"/>
    <s v="3340"/>
    <s v="2150"/>
    <n v="23430"/>
    <n v="117150"/>
    <n v="0.2"/>
    <x v="4"/>
    <s v="M"/>
  </r>
  <r>
    <s v="100422"/>
    <s v="Tasty New York"/>
    <s v="Tasty New Jersey"/>
    <x v="5"/>
    <n v="1"/>
    <n v="93293"/>
    <x v="0"/>
    <s v="7/21/1999"/>
    <n v="27"/>
    <s v="3340"/>
    <s v="2150"/>
    <n v="24256"/>
    <n v="117549"/>
    <n v="0.20634799105054064"/>
    <x v="4"/>
    <s v="M"/>
  </r>
  <r>
    <s v="137986"/>
    <s v="Tasty New York"/>
    <s v="Tasty New York"/>
    <x v="2"/>
    <n v="1"/>
    <n v="36813"/>
    <x v="1"/>
    <s v="5/8/2002"/>
    <n v="24"/>
    <s v="3501"/>
    <s v="3000"/>
    <n v="5522"/>
    <n v="42335"/>
    <n v="0.13043580961379472"/>
    <x v="8"/>
    <s v="M"/>
  </r>
  <r>
    <s v="101102"/>
    <s v="Tasty New York"/>
    <s v="Tasty New Jersey"/>
    <x v="5"/>
    <n v="1"/>
    <n v="73034"/>
    <x v="0"/>
    <s v="3/7/2001"/>
    <n v="25"/>
    <s v="3340"/>
    <s v="2150"/>
    <n v="16798"/>
    <n v="89832"/>
    <n v="0.18699349897586606"/>
    <x v="4"/>
    <s v="M"/>
  </r>
  <r>
    <s v="108540"/>
    <s v="Tasty New York"/>
    <s v="Tasty New Jersey"/>
    <x v="3"/>
    <n v="0"/>
    <n v="97060"/>
    <x v="0"/>
    <s v="2/10/1988"/>
    <n v="38"/>
    <s v="3360"/>
    <s v="2000"/>
    <n v="26206"/>
    <n v="123266"/>
    <n v="0.21259714763195042"/>
    <x v="4"/>
    <s v="M"/>
  </r>
  <r>
    <s v="111412"/>
    <s v="Tasty New York"/>
    <s v="Tasty New Jersey"/>
    <x v="5"/>
    <n v="1"/>
    <n v="89782"/>
    <x v="0"/>
    <s v="5/21/2003"/>
    <n v="23"/>
    <s v="3340"/>
    <s v="2150"/>
    <n v="18854"/>
    <n v="108636"/>
    <n v="0.17355204536249494"/>
    <x v="4"/>
    <s v="M"/>
  </r>
  <r>
    <s v="138306"/>
    <s v="Tasty New York"/>
    <s v="Tasty New York"/>
    <x v="3"/>
    <n v="0"/>
    <n v="48892"/>
    <x v="1"/>
    <s v="4/9/2003"/>
    <n v="23"/>
    <s v="3360"/>
    <s v="3000"/>
    <n v="7334"/>
    <n v="56226"/>
    <n v="0.13043787571586099"/>
    <x v="8"/>
    <s v="M"/>
  </r>
  <r>
    <s v="116741"/>
    <s v="Tasty New York"/>
    <s v="Tasty New Jersey"/>
    <x v="2"/>
    <n v="1"/>
    <n v="41095"/>
    <x v="0"/>
    <s v="10/14/1992"/>
    <n v="34"/>
    <s v="3364"/>
    <s v="2480"/>
    <n v="10274"/>
    <n v="51369"/>
    <n v="0.20000389339874244"/>
    <x v="4"/>
    <s v="M"/>
  </r>
  <r>
    <s v="136455"/>
    <s v="Tasty New York"/>
    <s v="Tasty New Jersey"/>
    <x v="2"/>
    <n v="1"/>
    <n v="43354"/>
    <x v="0"/>
    <s v="7/26/1978"/>
    <n v="48"/>
    <s v="3348"/>
    <s v="2000"/>
    <n v="11272"/>
    <n v="54626"/>
    <n v="0.20634862519679273"/>
    <x v="4"/>
    <s v="M"/>
  </r>
  <r>
    <s v="137650"/>
    <s v="Tasty New York"/>
    <s v="Tasty New Jersey"/>
    <x v="10"/>
    <n v="0"/>
    <n v="99091"/>
    <x v="0"/>
    <s v="10/13/1999"/>
    <n v="27"/>
    <s v="3201"/>
    <s v="2000"/>
    <n v="26755"/>
    <n v="125846"/>
    <n v="0.21260111564928563"/>
    <x v="4"/>
    <s v="M"/>
  </r>
  <r>
    <s v="138452"/>
    <s v="Tasty New York"/>
    <s v="Tasty New York"/>
    <x v="5"/>
    <n v="1"/>
    <n v="100956"/>
    <x v="2"/>
    <s v="11/1/2000"/>
    <n v="26"/>
    <s v="3340"/>
    <s v="2150"/>
    <n v="10096"/>
    <n v="111052"/>
    <n v="9.0912365378381294E-2"/>
    <x v="7"/>
    <s v="M"/>
  </r>
  <r>
    <s v="139829"/>
    <s v="Tasty New York"/>
    <s v="Tasty New Jersey"/>
    <x v="2"/>
    <n v="1"/>
    <n v="41784"/>
    <x v="0"/>
    <s v="5/2/1990"/>
    <n v="36"/>
    <s v="3310"/>
    <s v="2000"/>
    <n v="5014"/>
    <n v="46798"/>
    <n v="0.10714133082610368"/>
    <x v="4"/>
    <s v="M"/>
  </r>
  <r>
    <s v="138662"/>
    <s v="Tasty New York"/>
    <s v="Tasty New York"/>
    <x v="2"/>
    <n v="1"/>
    <n v="24661"/>
    <x v="1"/>
    <s v="5/18/2005"/>
    <n v="21"/>
    <s v="3501"/>
    <s v="3000"/>
    <n v="0"/>
    <n v="24661"/>
    <n v="0"/>
    <x v="0"/>
    <s v="M"/>
  </r>
  <r>
    <s v="141588"/>
    <s v="Tasty New York"/>
    <s v="Tasty New Jersey"/>
    <x v="2"/>
    <n v="1"/>
    <n v="43894"/>
    <x v="0"/>
    <s v="11/24/2004"/>
    <n v="22"/>
    <s v="3364"/>
    <s v="2150"/>
    <n v="10535"/>
    <n v="54429"/>
    <n v="0.19355490639181319"/>
    <x v="4"/>
    <s v="M"/>
  </r>
  <r>
    <s v="142021"/>
    <s v="Tasty New York"/>
    <s v="Tasty New Jersey"/>
    <x v="2"/>
    <n v="1"/>
    <n v="48192.6"/>
    <x v="0"/>
    <s v="8/20/2008"/>
    <n v="18"/>
    <s v="3364"/>
    <s v="2000"/>
    <n v="11084"/>
    <n v="59276.6"/>
    <n v="0.1869877827000874"/>
    <x v="4"/>
    <s v="M"/>
  </r>
  <r>
    <s v="142472"/>
    <s v="Tasty New York"/>
    <s v="Tasty New Jersey"/>
    <x v="2"/>
    <n v="1"/>
    <n v="49581"/>
    <x v="0"/>
    <s v="5/21/2003"/>
    <n v="23"/>
    <s v="3350"/>
    <s v="2000"/>
    <n v="12395"/>
    <n v="61976"/>
    <n v="0.19999677294436555"/>
    <x v="4"/>
    <s v="F"/>
  </r>
  <r>
    <s v="63630"/>
    <s v="Tasty New York"/>
    <s v="Tasty New Jersey"/>
    <x v="2"/>
    <n v="1"/>
    <n v="34853"/>
    <x v="0"/>
    <s v="6/14/1978"/>
    <n v="48"/>
    <s v="3364"/>
    <s v="2500"/>
    <n v="6274"/>
    <n v="41127"/>
    <n v="0.15255185158168599"/>
    <x v="8"/>
    <s v="M"/>
  </r>
  <r>
    <s v="109873"/>
    <s v="Tasty New York"/>
    <s v="Tasty New Jersey"/>
    <x v="0"/>
    <n v="1"/>
    <n v="65735"/>
    <x v="0"/>
    <s v="3/11/1992"/>
    <n v="34"/>
    <s v="3361"/>
    <s v="2000"/>
    <n v="9860"/>
    <n v="75595"/>
    <n v="0.13043190687214762"/>
    <x v="8"/>
    <s v="M"/>
  </r>
  <r>
    <s v="136139"/>
    <s v="Tasty New York"/>
    <s v="Tasty New Jersey"/>
    <x v="5"/>
    <n v="1"/>
    <n v="37551"/>
    <x v="0"/>
    <s v="2/28/1996"/>
    <n v="30"/>
    <s v="3340"/>
    <s v="2150"/>
    <n v="6008"/>
    <n v="43559"/>
    <n v="0.1379278679492183"/>
    <x v="8"/>
    <s v="F"/>
  </r>
  <r>
    <s v="139238"/>
    <s v="Tasty New York"/>
    <s v="Tasty New York"/>
    <x v="2"/>
    <n v="1"/>
    <n v="37471"/>
    <x v="3"/>
    <s v="10/1/2013"/>
    <n v="13"/>
    <s v="3350"/>
    <s v="2000"/>
    <n v="7119"/>
    <n v="44590"/>
    <n v="0.15965463108320252"/>
    <x v="8"/>
    <s v="F"/>
  </r>
  <r>
    <s v="136719"/>
    <s v="Tasty New York"/>
    <s v="Tasty New Jersey"/>
    <x v="0"/>
    <n v="1"/>
    <n v="62330"/>
    <x v="0"/>
    <s v="9/3/1997"/>
    <n v="29"/>
    <s v="3361"/>
    <s v="2000"/>
    <n v="9973"/>
    <n v="72303"/>
    <n v="0.13793341908357884"/>
    <x v="8"/>
    <s v="F"/>
  </r>
  <r>
    <s v="139684"/>
    <s v="Tasty New York"/>
    <s v="Tasty New York"/>
    <x v="0"/>
    <n v="1"/>
    <n v="123212"/>
    <x v="1"/>
    <s v="11/12/2010"/>
    <n v="16"/>
    <s v="3338"/>
    <s v="1001"/>
    <n v="18482"/>
    <n v="141694"/>
    <n v="0.13043600999336599"/>
    <x v="7"/>
    <s v="F"/>
  </r>
  <r>
    <s v="139699"/>
    <s v="Tasty New York"/>
    <s v="Tasty New York"/>
    <x v="3"/>
    <n v="0"/>
    <n v="198198"/>
    <x v="1"/>
    <s v="8/27/1980"/>
    <n v="46"/>
    <s v="3360"/>
    <s v="4000"/>
    <n v="0"/>
    <n v="198198"/>
    <n v="0"/>
    <x v="6"/>
    <s v="M"/>
  </r>
  <r>
    <s v="136809"/>
    <s v="Tasty New York"/>
    <s v="Tasty New Jersey"/>
    <x v="2"/>
    <n v="1"/>
    <n v="36096"/>
    <x v="0"/>
    <s v="3/29/2000"/>
    <n v="26"/>
    <s v="3364"/>
    <s v="2300"/>
    <n v="4692"/>
    <n v="40788"/>
    <n v="0.11503383348043542"/>
    <x v="8"/>
    <s v="M"/>
  </r>
  <r>
    <s v="139724"/>
    <s v="Tasty New York"/>
    <s v="Tasty New York"/>
    <x v="3"/>
    <n v="0"/>
    <n v="91953"/>
    <x v="1"/>
    <s v="8/21/1963"/>
    <n v="63"/>
    <s v="3360"/>
    <s v="4000"/>
    <n v="0"/>
    <n v="91953"/>
    <n v="0"/>
    <x v="4"/>
    <s v="M"/>
  </r>
  <r>
    <s v="139752"/>
    <s v="Tasty New York"/>
    <s v="Tasty New York"/>
    <x v="3"/>
    <n v="0"/>
    <n v="160008"/>
    <x v="1"/>
    <s v="6/21/1950"/>
    <n v="76"/>
    <s v="3360"/>
    <s v="3000"/>
    <n v="27201"/>
    <n v="187209"/>
    <n v="0.14529750172267358"/>
    <x v="7"/>
    <s v="F"/>
  </r>
  <r>
    <s v="139800"/>
    <s v="Tasty New York"/>
    <s v="Tasty New York"/>
    <x v="2"/>
    <n v="1"/>
    <n v="99568"/>
    <x v="1"/>
    <s v="1/28/1987"/>
    <n v="39"/>
    <s v="3501"/>
    <s v="3000"/>
    <n v="14935"/>
    <n v="114503"/>
    <n v="0.13043326375728148"/>
    <x v="7"/>
    <s v="M"/>
  </r>
  <r>
    <s v="139810"/>
    <s v="Tasty New York"/>
    <s v="Tasty New York"/>
    <x v="0"/>
    <n v="1"/>
    <n v="87242"/>
    <x v="2"/>
    <s v="2/10/1988"/>
    <n v="38"/>
    <s v="3361"/>
    <s v="2000"/>
    <n v="1745"/>
    <n v="88987"/>
    <n v="1.9609605897490643E-2"/>
    <x v="4"/>
    <s v="F"/>
  </r>
  <r>
    <s v="137241"/>
    <s v="Tasty New York"/>
    <s v="Tasty New Jersey"/>
    <x v="2"/>
    <n v="1"/>
    <n v="31747"/>
    <x v="0"/>
    <s v="11/1/2000"/>
    <n v="26"/>
    <s v="3364"/>
    <s v="2000"/>
    <n v="5080"/>
    <n v="36827"/>
    <n v="0.13794227061666711"/>
    <x v="8"/>
    <s v="M"/>
  </r>
  <r>
    <s v="139836"/>
    <s v="Tasty New York"/>
    <s v="Tasty New York"/>
    <x v="3"/>
    <n v="0"/>
    <n v="21999"/>
    <x v="2"/>
    <s v="9/2/1992"/>
    <n v="34"/>
    <s v="3360"/>
    <s v="5000"/>
    <n v="0"/>
    <n v="21999"/>
    <n v="0"/>
    <x v="0"/>
    <s v="F"/>
  </r>
  <r>
    <s v="139857"/>
    <s v="Tasty New York"/>
    <s v="Tasty New York"/>
    <x v="2"/>
    <n v="1"/>
    <n v="18015"/>
    <x v="1"/>
    <s v="7/22/1992"/>
    <n v="34"/>
    <s v="3501"/>
    <s v="3000"/>
    <n v="0"/>
    <n v="18015"/>
    <n v="0"/>
    <x v="0"/>
    <s v="F"/>
  </r>
  <r>
    <s v="139878"/>
    <s v="Tasty New York"/>
    <s v="Tasty New York"/>
    <x v="2"/>
    <n v="1"/>
    <n v="41408"/>
    <x v="1"/>
    <s v="8/21/1996"/>
    <n v="30"/>
    <s v="3501"/>
    <s v="3550"/>
    <n v="5797"/>
    <n v="47205"/>
    <n v="0.1228047876284292"/>
    <x v="4"/>
    <s v="F"/>
  </r>
  <r>
    <s v="139894"/>
    <s v="Tasty New York"/>
    <s v="Tasty New York"/>
    <x v="11"/>
    <n v="0"/>
    <n v="138128"/>
    <x v="2"/>
    <s v="1/30/1980"/>
    <n v="46"/>
    <s v="3332"/>
    <s v="2000"/>
    <n v="0"/>
    <n v="138128"/>
    <n v="0"/>
    <x v="21"/>
    <s v="M"/>
  </r>
  <r>
    <s v="139931"/>
    <s v="Tasty New York"/>
    <s v="Tasty New York"/>
    <x v="3"/>
    <n v="0"/>
    <n v="30439"/>
    <x v="2"/>
    <s v="6/9/1999"/>
    <n v="27"/>
    <s v="3360"/>
    <s v="5000"/>
    <n v="0"/>
    <n v="30439"/>
    <n v="0"/>
    <x v="0"/>
    <s v="F"/>
  </r>
  <r>
    <s v="139983"/>
    <s v="Tasty New York"/>
    <s v="Tasty New York"/>
    <x v="0"/>
    <n v="1"/>
    <n v="70123"/>
    <x v="1"/>
    <s v="4/30/1997"/>
    <n v="29"/>
    <s v="3361"/>
    <s v="3000"/>
    <n v="9817"/>
    <n v="79940"/>
    <n v="0.12280460345258944"/>
    <x v="4"/>
    <s v="M"/>
  </r>
  <r>
    <s v="140082"/>
    <s v="Tasty New York"/>
    <s v="Tasty New Jersey"/>
    <x v="3"/>
    <n v="0"/>
    <n v="20122"/>
    <x v="0"/>
    <s v="7/11/2001"/>
    <n v="25"/>
    <s v="3360"/>
    <s v="7000"/>
    <n v="0"/>
    <n v="20122"/>
    <n v="0"/>
    <x v="0"/>
    <s v="M"/>
  </r>
  <r>
    <s v="140131"/>
    <s v="Tasty New York"/>
    <s v="Tasty New York"/>
    <x v="3"/>
    <n v="0"/>
    <n v="32389"/>
    <x v="2"/>
    <s v="10/13/1999"/>
    <n v="27"/>
    <s v="3360"/>
    <s v="5000"/>
    <n v="0"/>
    <n v="32389"/>
    <n v="0"/>
    <x v="0"/>
    <s v="F"/>
  </r>
  <r>
    <s v="140161"/>
    <s v="Tasty New York"/>
    <s v="Tasty New York"/>
    <x v="2"/>
    <n v="1"/>
    <n v="49130"/>
    <x v="1"/>
    <s v="7/31/2002"/>
    <n v="24"/>
    <s v="3501"/>
    <s v="3550"/>
    <n v="0"/>
    <n v="49130"/>
    <n v="0"/>
    <x v="4"/>
    <s v="M"/>
  </r>
  <r>
    <s v="140244"/>
    <s v="Tasty New York"/>
    <s v="Tasty New York"/>
    <x v="2"/>
    <n v="1"/>
    <n v="46967"/>
    <x v="1"/>
    <s v="12/4/2002"/>
    <n v="24"/>
    <s v="3501"/>
    <s v="3000"/>
    <n v="0"/>
    <n v="46967"/>
    <n v="0"/>
    <x v="4"/>
    <s v="M"/>
  </r>
  <r>
    <s v="140266"/>
    <s v="Tasty New York"/>
    <s v="Tasty New York"/>
    <x v="2"/>
    <n v="1"/>
    <n v="34853"/>
    <x v="1"/>
    <s v="10/23/2002"/>
    <n v="24"/>
    <s v="3501"/>
    <s v="3152"/>
    <n v="5228"/>
    <n v="40081"/>
    <n v="0.13043586736857862"/>
    <x v="8"/>
    <s v="M"/>
  </r>
  <r>
    <s v="137307"/>
    <s v="Tasty New York"/>
    <s v="Tasty New Jersey"/>
    <x v="2"/>
    <n v="1"/>
    <n v="39254"/>
    <x v="0"/>
    <s v="4/30/1997"/>
    <n v="29"/>
    <s v="3364"/>
    <s v="2500"/>
    <n v="5496"/>
    <n v="44750"/>
    <n v="0.12281564245810056"/>
    <x v="8"/>
    <s v="M"/>
  </r>
  <r>
    <s v="140424"/>
    <s v="Tasty New York"/>
    <s v="Tasty New York"/>
    <x v="3"/>
    <n v="0"/>
    <n v="115972"/>
    <x v="2"/>
    <s v="12/26/2001"/>
    <n v="25"/>
    <s v="3360"/>
    <s v="5000"/>
    <n v="9278"/>
    <n v="125250"/>
    <n v="7.4075848303393213E-2"/>
    <x v="7"/>
    <s v="F"/>
  </r>
  <r>
    <s v="140425"/>
    <s v="Tasty New York"/>
    <s v="Tasty New York"/>
    <x v="3"/>
    <n v="0"/>
    <n v="57465"/>
    <x v="3"/>
    <s v="1/15/2003"/>
    <n v="23"/>
    <s v="3360"/>
    <s v="6000"/>
    <n v="8620"/>
    <n v="66085"/>
    <n v="0.13043807217976847"/>
    <x v="8"/>
    <s v="F"/>
  </r>
  <r>
    <s v="140458"/>
    <s v="Tasty New York"/>
    <s v="Tasty New York"/>
    <x v="3"/>
    <n v="0"/>
    <n v="32695"/>
    <x v="1"/>
    <s v="7/2/2003"/>
    <n v="23"/>
    <s v="3360"/>
    <s v="4000"/>
    <n v="0"/>
    <n v="32695"/>
    <n v="0"/>
    <x v="0"/>
    <s v="F"/>
  </r>
  <r>
    <s v="140537"/>
    <s v="Tasty New York"/>
    <s v="Tasty New York"/>
    <x v="2"/>
    <n v="1"/>
    <n v="75760"/>
    <x v="1"/>
    <s v="7/31/2002"/>
    <n v="24"/>
    <s v="3501"/>
    <s v="3000"/>
    <n v="11364"/>
    <n v="87124"/>
    <n v="0.13043478260869565"/>
    <x v="7"/>
    <s v="M"/>
  </r>
  <r>
    <s v="137310"/>
    <s v="Tasty New York"/>
    <s v="Tasty New Jersey"/>
    <x v="2"/>
    <n v="1"/>
    <n v="32208"/>
    <x v="0"/>
    <s v="11/1/2000"/>
    <n v="26"/>
    <s v="3364"/>
    <s v="2500"/>
    <n v="5797"/>
    <n v="38005"/>
    <n v="0.15253256150506511"/>
    <x v="8"/>
    <s v="M"/>
  </r>
  <r>
    <s v="137415"/>
    <s v="Tasty New York"/>
    <s v="Tasty New Jersey"/>
    <x v="2"/>
    <n v="1"/>
    <n v="39950"/>
    <x v="0"/>
    <s v="3/7/2001"/>
    <n v="25"/>
    <s v="3364"/>
    <s v="2000"/>
    <n v="7191"/>
    <n v="47141"/>
    <n v="0.15254237288135594"/>
    <x v="8"/>
    <s v="F"/>
  </r>
  <r>
    <s v="140663"/>
    <s v="Tasty New York"/>
    <s v="Tasty New York"/>
    <x v="2"/>
    <n v="1"/>
    <n v="25188"/>
    <x v="1"/>
    <s v="3/8/2006"/>
    <n v="20"/>
    <s v="3501"/>
    <s v="3000"/>
    <n v="0"/>
    <n v="25188"/>
    <n v="0"/>
    <x v="0"/>
    <s v="F"/>
  </r>
  <r>
    <s v="140712"/>
    <s v="Tasty New York"/>
    <s v="Tasty New York"/>
    <x v="11"/>
    <n v="0"/>
    <n v="27605"/>
    <x v="1"/>
    <s v="7/2/2003"/>
    <n v="23"/>
    <s v="3332"/>
    <s v="2000"/>
    <n v="0"/>
    <n v="27605"/>
    <n v="0"/>
    <x v="22"/>
    <s v="M"/>
  </r>
  <r>
    <s v="140732"/>
    <s v="Tasty New York"/>
    <s v="Tasty New York"/>
    <x v="3"/>
    <n v="0"/>
    <n v="42870"/>
    <x v="3"/>
    <s v="7/21/2004"/>
    <n v="22"/>
    <s v="3360"/>
    <s v="6000"/>
    <n v="19292"/>
    <n v="62162"/>
    <n v="0.31035037482706479"/>
    <x v="8"/>
    <s v="M"/>
  </r>
  <r>
    <s v="137674"/>
    <s v="Tasty New York"/>
    <s v="Tasty New Jersey"/>
    <x v="0"/>
    <n v="1"/>
    <n v="35737"/>
    <x v="0"/>
    <s v="1/27/1999"/>
    <n v="27"/>
    <s v="3349"/>
    <s v="1001"/>
    <n v="5718"/>
    <n v="41455"/>
    <n v="0.13793269810638042"/>
    <x v="8"/>
    <s v="M"/>
  </r>
  <r>
    <s v="137929"/>
    <s v="Tasty New York"/>
    <s v="Tasty New Jersey"/>
    <x v="2"/>
    <n v="1"/>
    <n v="36384"/>
    <x v="0"/>
    <s v="11/14/2001"/>
    <n v="25"/>
    <s v="3364"/>
    <s v="2000"/>
    <n v="5094"/>
    <n v="41478"/>
    <n v="0.1228120931578186"/>
    <x v="8"/>
    <s v="M"/>
  </r>
  <r>
    <s v="140959"/>
    <s v="Tasty New York"/>
    <s v="Tasty New York"/>
    <x v="2"/>
    <n v="1"/>
    <n v="48463"/>
    <x v="1"/>
    <s v="7/19/2006"/>
    <n v="20"/>
    <s v="3501"/>
    <s v="3220"/>
    <n v="5816"/>
    <n v="54279"/>
    <n v="0.10715009488015623"/>
    <x v="4"/>
    <s v="M"/>
  </r>
  <r>
    <s v="140968"/>
    <s v="Tasty New York"/>
    <s v="Tasty New York"/>
    <x v="5"/>
    <n v="1"/>
    <n v="50611"/>
    <x v="1"/>
    <s v="5/18/2005"/>
    <n v="21"/>
    <s v="3339"/>
    <s v="2000"/>
    <n v="7592"/>
    <n v="58203"/>
    <n v="0.13044001168324657"/>
    <x v="8"/>
    <s v="F"/>
  </r>
  <r>
    <s v="140994"/>
    <s v="Tasty New York"/>
    <s v="Tasty New York"/>
    <x v="2"/>
    <n v="1"/>
    <n v="47946"/>
    <x v="1"/>
    <s v="10/13/2004"/>
    <n v="22"/>
    <s v="3501"/>
    <s v="3220"/>
    <n v="5754"/>
    <n v="53700"/>
    <n v="0.10715083798882681"/>
    <x v="4"/>
    <s v="M"/>
  </r>
  <r>
    <s v="137937"/>
    <s v="Tasty New York"/>
    <s v="Tasty New Jersey"/>
    <x v="2"/>
    <n v="1"/>
    <n v="34738"/>
    <x v="0"/>
    <s v="3/27/2002"/>
    <n v="24"/>
    <s v="3364"/>
    <s v="2300"/>
    <n v="5558"/>
    <n v="40296"/>
    <n v="0.13792932300972802"/>
    <x v="8"/>
    <s v="F"/>
  </r>
  <r>
    <s v="141061"/>
    <s v="Tasty New York"/>
    <s v="Tasty New York"/>
    <x v="0"/>
    <n v="1"/>
    <n v="29479"/>
    <x v="3"/>
    <s v="11/22/2006"/>
    <n v="20"/>
    <s v="3361"/>
    <s v="6000"/>
    <n v="0"/>
    <n v="29479"/>
    <n v="0"/>
    <x v="0"/>
    <s v="F"/>
  </r>
  <r>
    <s v="138045"/>
    <s v="Tasty New York"/>
    <s v="Tasty New Jersey"/>
    <x v="0"/>
    <n v="1"/>
    <n v="53767"/>
    <x v="0"/>
    <s v="5/8/2002"/>
    <n v="24"/>
    <s v="3361"/>
    <s v="2000"/>
    <n v="9678"/>
    <n v="63445"/>
    <n v="0.15254157143982977"/>
    <x v="8"/>
    <s v="M"/>
  </r>
  <r>
    <s v="141093"/>
    <s v="Tasty New York"/>
    <s v="Tasty New York"/>
    <x v="2"/>
    <n v="1"/>
    <n v="35554"/>
    <x v="1"/>
    <s v="8/10/2005"/>
    <n v="21"/>
    <s v="3501"/>
    <s v="3220"/>
    <n v="5333"/>
    <n v="40887"/>
    <n v="0.13043265585638467"/>
    <x v="8"/>
    <s v="F"/>
  </r>
  <r>
    <s v="141115"/>
    <s v="Tasty New York"/>
    <s v="Tasty New York"/>
    <x v="2"/>
    <n v="1"/>
    <n v="42266"/>
    <x v="1"/>
    <s v="6/9/2004"/>
    <n v="22"/>
    <s v="3501"/>
    <s v="3220"/>
    <n v="5072"/>
    <n v="47338"/>
    <n v="0.10714436604841776"/>
    <x v="4"/>
    <s v="F"/>
  </r>
  <r>
    <s v="138161"/>
    <s v="Tasty New York"/>
    <s v="Tasty New Jersey"/>
    <x v="0"/>
    <n v="1"/>
    <n v="63616"/>
    <x v="0"/>
    <s v="10/3/2001"/>
    <n v="25"/>
    <s v="3361"/>
    <s v="2000"/>
    <n v="10179"/>
    <n v="73795"/>
    <n v="0.13793617453757029"/>
    <x v="8"/>
    <s v="F"/>
  </r>
  <r>
    <s v="138263"/>
    <s v="Tasty New York"/>
    <s v="Tasty New Jersey"/>
    <x v="0"/>
    <n v="1"/>
    <n v="46787"/>
    <x v="0"/>
    <s v="10/1/2003"/>
    <n v="23"/>
    <s v="3361"/>
    <s v="2000"/>
    <n v="8422"/>
    <n v="55209"/>
    <n v="0.15254759187813582"/>
    <x v="8"/>
    <s v="M"/>
  </r>
  <r>
    <s v="141664"/>
    <s v="Tasty New York"/>
    <s v="Tasty New York"/>
    <x v="0"/>
    <n v="1"/>
    <n v="29399"/>
    <x v="3"/>
    <s v="2/23/2005"/>
    <n v="21"/>
    <s v="3361"/>
    <s v="6000"/>
    <n v="0"/>
    <n v="29399"/>
    <n v="0"/>
    <x v="0"/>
    <s v="F"/>
  </r>
  <r>
    <s v="140424"/>
    <s v="Tasty New York"/>
    <s v="Tasty New York"/>
    <x v="3"/>
    <n v="0"/>
    <n v="115972"/>
    <x v="2"/>
    <s v="12/26/2001"/>
    <n v="25"/>
    <s v="3360"/>
    <s v="5000"/>
    <n v="10437"/>
    <n v="126409"/>
    <n v="8.2565323671574015E-2"/>
    <x v="7"/>
    <s v="F"/>
  </r>
  <r>
    <s v="141966"/>
    <s v="Tasty New York"/>
    <s v="Tasty New Jersey"/>
    <x v="3"/>
    <n v="0"/>
    <n v="108680"/>
    <x v="0"/>
    <s v="11/24/2004"/>
    <n v="22"/>
    <s v="3360"/>
    <s v="8000"/>
    <n v="10868"/>
    <n v="119548"/>
    <n v="9.0909090909090912E-2"/>
    <x v="4"/>
    <s v="M"/>
  </r>
  <r>
    <s v="138870"/>
    <s v="Tasty New York"/>
    <s v="Tasty New Jersey"/>
    <x v="2"/>
    <n v="1"/>
    <n v="39486"/>
    <x v="0"/>
    <s v="12/4/2002"/>
    <n v="24"/>
    <s v="3364"/>
    <s v="2000"/>
    <n v="7107"/>
    <n v="46593"/>
    <n v="0.15253364239263409"/>
    <x v="8"/>
    <s v="F"/>
  </r>
  <r>
    <s v="138942"/>
    <s v="Tasty New York"/>
    <s v="Tasty New Jersey"/>
    <x v="2"/>
    <n v="1"/>
    <n v="30951"/>
    <x v="0"/>
    <s v="12/24/2003"/>
    <n v="23"/>
    <s v="3364"/>
    <s v="2560"/>
    <n v="5571"/>
    <n v="36522"/>
    <n v="0.15253819615574174"/>
    <x v="8"/>
    <s v="M"/>
  </r>
  <r>
    <s v="142216"/>
    <s v="Tasty New York"/>
    <s v="Tasty New York"/>
    <x v="3"/>
    <n v="0"/>
    <n v="75931"/>
    <x v="3"/>
    <s v="10/13/2004"/>
    <n v="22"/>
    <s v="3360"/>
    <s v="6000"/>
    <n v="11390"/>
    <n v="87321"/>
    <n v="0.13043826799967934"/>
    <x v="8"/>
    <s v="M"/>
  </r>
  <r>
    <s v="142294"/>
    <s v="Tasty New York"/>
    <s v="Tasty New York"/>
    <x v="3"/>
    <n v="0"/>
    <n v="127253"/>
    <x v="3"/>
    <s v="6/29/2005"/>
    <n v="21"/>
    <s v="3360"/>
    <s v="6000"/>
    <n v="17815"/>
    <n v="145068"/>
    <n v="0.1228044779000193"/>
    <x v="7"/>
    <s v="M"/>
  </r>
  <r>
    <s v="142418"/>
    <s v="Tasty New York"/>
    <s v="Tasty New York"/>
    <x v="2"/>
    <n v="1"/>
    <n v="203400"/>
    <x v="3"/>
    <s v="7/23/1997"/>
    <n v="29"/>
    <s v="3508"/>
    <s v="1001"/>
    <n v="0"/>
    <n v="203400"/>
    <n v="0"/>
    <x v="6"/>
    <s v="M"/>
  </r>
  <r>
    <s v="139214"/>
    <s v="Tasty New York"/>
    <s v="Tasty New Jersey"/>
    <x v="2"/>
    <n v="1"/>
    <n v="35488"/>
    <x v="0"/>
    <s v="4/28/2004"/>
    <n v="22"/>
    <s v="3364"/>
    <s v="2000"/>
    <n v="5678"/>
    <n v="41166"/>
    <n v="0.13792935917990576"/>
    <x v="8"/>
    <s v="M"/>
  </r>
  <r>
    <s v="140878"/>
    <s v="Tasty New York"/>
    <s v="Tasty New Jersey"/>
    <x v="3"/>
    <n v="0"/>
    <n v="83436"/>
    <x v="0"/>
    <s v="5/21/2003"/>
    <n v="23"/>
    <s v="3201"/>
    <s v="2000"/>
    <n v="11681"/>
    <n v="95117"/>
    <n v="0.12280664865376326"/>
    <x v="8"/>
    <s v="F"/>
  </r>
  <r>
    <s v="140919"/>
    <s v="Tasty New York"/>
    <s v="Tasty New Jersey"/>
    <x v="3"/>
    <n v="0"/>
    <n v="47510"/>
    <x v="0"/>
    <s v="10/13/2004"/>
    <n v="22"/>
    <s v="3360"/>
    <s v="2000"/>
    <n v="8552"/>
    <n v="56062"/>
    <n v="0.15254539616852769"/>
    <x v="8"/>
    <s v="M"/>
  </r>
  <r>
    <s v="142728"/>
    <s v="Tasty New York"/>
    <s v="Tasty New York"/>
    <x v="0"/>
    <n v="1"/>
    <n v="32514"/>
    <x v="1"/>
    <s v="6/20/2007"/>
    <n v="19"/>
    <s v="3361"/>
    <s v="4000"/>
    <n v="0"/>
    <n v="32514"/>
    <n v="0"/>
    <x v="0"/>
    <s v="F"/>
  </r>
  <r>
    <s v="142896"/>
    <s v="Tasty New York"/>
    <s v="Tasty New Jersey"/>
    <x v="3"/>
    <n v="0"/>
    <n v="49177"/>
    <x v="0"/>
    <s v="6/7/2006"/>
    <n v="20"/>
    <s v="3360"/>
    <s v="2000"/>
    <n v="8852"/>
    <n v="58029"/>
    <n v="0.1525444174464492"/>
    <x v="8"/>
    <s v="F"/>
  </r>
  <r>
    <s v="142900"/>
    <s v="Tasty New York"/>
    <s v="Tasty New York"/>
    <x v="0"/>
    <n v="1"/>
    <n v="22761"/>
    <x v="1"/>
    <s v="1/3/2007"/>
    <n v="19"/>
    <s v="3361"/>
    <s v="4000"/>
    <n v="0"/>
    <n v="22761"/>
    <n v="0"/>
    <x v="0"/>
    <s v="F"/>
  </r>
  <r>
    <s v="143241"/>
    <s v="Tasty New York"/>
    <s v="Tasty New Jersey"/>
    <x v="3"/>
    <n v="0"/>
    <n v="115093"/>
    <x v="0"/>
    <s v="9/21/2005"/>
    <n v="21"/>
    <s v="3360"/>
    <s v="8000"/>
    <n v="17264"/>
    <n v="132357"/>
    <n v="0.13043511110103734"/>
    <x v="7"/>
    <s v="F"/>
  </r>
  <r>
    <s v="143313"/>
    <s v="Tasty New York"/>
    <s v="Tasty New Jersey"/>
    <x v="2"/>
    <n v="1"/>
    <n v="33920"/>
    <x v="0"/>
    <s v="10/11/2006"/>
    <n v="20"/>
    <s v="3364"/>
    <s v="2000"/>
    <n v="6106"/>
    <n v="40026"/>
    <n v="0.15255084195273072"/>
    <x v="8"/>
    <s v="F"/>
  </r>
  <r>
    <s v="143326"/>
    <s v="Tasty New York"/>
    <s v="Tasty New York"/>
    <x v="0"/>
    <n v="1"/>
    <n v="19345.2"/>
    <x v="2"/>
    <s v="7/19/2006"/>
    <n v="20"/>
    <s v="3361"/>
    <s v="2000"/>
    <n v="0"/>
    <n v="19345.2"/>
    <n v="0"/>
    <x v="0"/>
    <s v="F"/>
  </r>
  <r>
    <s v="143811"/>
    <s v="Tasty New York"/>
    <s v="Tasty New Jersey"/>
    <x v="3"/>
    <n v="0"/>
    <n v="75335"/>
    <x v="0"/>
    <s v="12/15/1993"/>
    <n v="33"/>
    <s v="3360"/>
    <s v="2000"/>
    <n v="10547"/>
    <n v="85882"/>
    <n v="0.12280803893714631"/>
    <x v="8"/>
    <s v="M"/>
  </r>
  <r>
    <s v="143550"/>
    <s v="Tasty New York"/>
    <s v="Tasty New York"/>
    <x v="3"/>
    <n v="0"/>
    <n v="89032"/>
    <x v="3"/>
    <s v="1/25/2006"/>
    <n v="20"/>
    <s v="3360"/>
    <s v="6000"/>
    <n v="8903"/>
    <n v="97935"/>
    <n v="9.090723439015673E-2"/>
    <x v="4"/>
    <s v="M"/>
  </r>
  <r>
    <s v="143814"/>
    <s v="Tasty New York"/>
    <s v="Tasty New Jersey"/>
    <x v="3"/>
    <n v="0"/>
    <n v="40675"/>
    <x v="0"/>
    <s v="7/21/1999"/>
    <n v="27"/>
    <s v="3360"/>
    <s v="2000"/>
    <n v="6508"/>
    <n v="47183"/>
    <n v="0.13793103448275862"/>
    <x v="8"/>
    <s v="M"/>
  </r>
  <r>
    <s v="147317"/>
    <s v="Tasty New York"/>
    <s v="Tasty New Jersey"/>
    <x v="10"/>
    <n v="0"/>
    <n v="70194"/>
    <x v="0"/>
    <s v="5/21/2003"/>
    <n v="23"/>
    <s v="3543"/>
    <s v="1002"/>
    <n v="12635"/>
    <n v="82829"/>
    <n v="0.15254319139431841"/>
    <x v="8"/>
    <s v="M"/>
  </r>
  <r>
    <s v="139710"/>
    <s v="Tasty New York"/>
    <s v="Tasty New Jersey"/>
    <x v="11"/>
    <n v="0"/>
    <n v="362250"/>
    <x v="0"/>
    <s v="5/4/1983"/>
    <n v="43"/>
    <s v="3351"/>
    <s v="1001"/>
    <n v="0"/>
    <n v="362250"/>
    <n v="0"/>
    <x v="23"/>
    <s v="F"/>
  </r>
  <r>
    <s v="140589"/>
    <s v="Tasty New York"/>
    <s v="Tasty New Jersey"/>
    <x v="11"/>
    <n v="0"/>
    <n v="85287"/>
    <x v="0"/>
    <s v="4/19/2006"/>
    <n v="20"/>
    <s v="3363"/>
    <s v="1001"/>
    <n v="0"/>
    <n v="85287"/>
    <n v="0"/>
    <x v="24"/>
    <s v="F"/>
  </r>
  <r>
    <s v="101232"/>
    <s v="Tasty New York"/>
    <s v="Tasty New Jersey"/>
    <x v="8"/>
    <n v="0"/>
    <n v="62852"/>
    <x v="0"/>
    <s v="8/22/2001"/>
    <n v="25"/>
    <s v="3310"/>
    <s v="2000"/>
    <n v="0"/>
    <n v="62852"/>
    <n v="0"/>
    <x v="14"/>
    <s v="M"/>
  </r>
  <r>
    <s v="145445"/>
    <s v="Tasty New York"/>
    <s v="Tasty New York"/>
    <x v="10"/>
    <n v="0"/>
    <n v="155403"/>
    <x v="2"/>
    <s v="6/11/1997"/>
    <n v="29"/>
    <s v="3543"/>
    <s v="1001"/>
    <n v="12432"/>
    <n v="167835"/>
    <n v="7.407275002234337E-2"/>
    <x v="7"/>
    <s v="M"/>
  </r>
  <r>
    <s v="146109"/>
    <s v="Tasty New York"/>
    <s v="Tasty New York"/>
    <x v="3"/>
    <n v="0"/>
    <n v="145000"/>
    <x v="3"/>
    <s v="11/15/1989"/>
    <n v="37"/>
    <s v="3505"/>
    <s v="2000"/>
    <n v="20300"/>
    <n v="165300"/>
    <n v="0.12280701754385964"/>
    <x v="7"/>
    <s v="M"/>
  </r>
  <r>
    <s v="147184"/>
    <s v="Tasty New York"/>
    <s v="Tasty New York"/>
    <x v="10"/>
    <n v="0"/>
    <n v="159954"/>
    <x v="2"/>
    <s v="5/21/2003"/>
    <n v="23"/>
    <s v="3543"/>
    <s v="1001"/>
    <n v="11197"/>
    <n v="171151"/>
    <n v="6.5421762069751269E-2"/>
    <x v="7"/>
    <s v="M"/>
  </r>
  <r>
    <s v="147185"/>
    <s v="Tasty New York"/>
    <s v="Tasty New York"/>
    <x v="10"/>
    <n v="0"/>
    <n v="40717"/>
    <x v="2"/>
    <s v="10/3/2010"/>
    <n v="16"/>
    <s v="3543"/>
    <s v="1001"/>
    <n v="0"/>
    <n v="40717"/>
    <n v="0"/>
    <x v="0"/>
    <s v="F"/>
  </r>
  <r>
    <s v="147188"/>
    <s v="Tasty New York"/>
    <s v="Tasty New York"/>
    <x v="10"/>
    <n v="0"/>
    <n v="92324"/>
    <x v="2"/>
    <s v="12/4/2012"/>
    <n v="14"/>
    <s v="3543"/>
    <s v="1001"/>
    <n v="1846"/>
    <n v="94170"/>
    <n v="1.960284591695869E-2"/>
    <x v="4"/>
    <s v="F"/>
  </r>
  <r>
    <s v="147203"/>
    <s v="Tasty New York"/>
    <s v="Tasty New York"/>
    <x v="10"/>
    <n v="0"/>
    <n v="241749"/>
    <x v="2"/>
    <s v="5/30/2011"/>
    <n v="15"/>
    <s v="3543"/>
    <s v="1001"/>
    <n v="0"/>
    <n v="241749"/>
    <n v="0"/>
    <x v="25"/>
    <s v="M"/>
  </r>
  <r>
    <s v="147218"/>
    <s v="Tasty New York"/>
    <s v="Tasty New York"/>
    <x v="0"/>
    <n v="1"/>
    <n v="32100"/>
    <x v="2"/>
    <s v="5/18/2005"/>
    <n v="21"/>
    <s v="3361"/>
    <s v="2000"/>
    <n v="0"/>
    <n v="32100"/>
    <n v="0"/>
    <x v="0"/>
    <s v="F"/>
  </r>
  <r>
    <s v="147221"/>
    <s v="Tasty New York"/>
    <s v="Tasty New York"/>
    <x v="10"/>
    <n v="0"/>
    <n v="135286"/>
    <x v="2"/>
    <s v="10/1/2003"/>
    <n v="23"/>
    <s v="3543"/>
    <s v="1001"/>
    <n v="12176"/>
    <n v="147462"/>
    <n v="8.2570424923031016E-2"/>
    <x v="7"/>
    <s v="M"/>
  </r>
  <r>
    <s v="147235"/>
    <s v="Tasty New York"/>
    <s v="Tasty New York"/>
    <x v="0"/>
    <n v="1"/>
    <n v="96090"/>
    <x v="2"/>
    <s v="5/8/2002"/>
    <n v="24"/>
    <s v="3361"/>
    <s v="2000"/>
    <n v="1922"/>
    <n v="98012"/>
    <n v="1.9609843692609069E-2"/>
    <x v="4"/>
    <s v="M"/>
  </r>
  <r>
    <s v="143652"/>
    <s v="Tasty New York"/>
    <s v="Tasty New Jersey"/>
    <x v="2"/>
    <n v="1"/>
    <n v="60500"/>
    <x v="0"/>
    <s v="4/19/2006"/>
    <n v="20"/>
    <s v="3364"/>
    <s v="2500"/>
    <n v="0"/>
    <n v="60500"/>
    <n v="0"/>
    <x v="26"/>
    <e v="#N/A"/>
  </r>
  <r>
    <s v="147244"/>
    <s v="Tasty New York"/>
    <s v="Tasty New York"/>
    <x v="10"/>
    <n v="0"/>
    <n v="100000"/>
    <x v="2"/>
    <s v="7/31/2002"/>
    <n v="24"/>
    <s v="3543"/>
    <s v="1001"/>
    <n v="5000"/>
    <n v="105000"/>
    <n v="4.7619047619047616E-2"/>
    <x v="4"/>
    <s v="F"/>
  </r>
  <r>
    <s v="147246"/>
    <s v="Tasty New York"/>
    <s v="Tasty New York"/>
    <x v="10"/>
    <n v="0"/>
    <n v="229017"/>
    <x v="1"/>
    <s v="3/7/2001"/>
    <n v="25"/>
    <s v="3543"/>
    <s v="1004"/>
    <n v="0"/>
    <n v="229017"/>
    <n v="0"/>
    <x v="6"/>
    <s v="F"/>
  </r>
  <r>
    <s v="147249"/>
    <s v="Tasty New York"/>
    <s v="Tasty New York"/>
    <x v="0"/>
    <n v="1"/>
    <n v="91156"/>
    <x v="2"/>
    <s v="8/20/2003"/>
    <n v="23"/>
    <s v="3361"/>
    <s v="2000"/>
    <n v="0"/>
    <n v="91156"/>
    <n v="0"/>
    <x v="4"/>
    <s v="M"/>
  </r>
  <r>
    <s v="147251"/>
    <s v="Tasty New York"/>
    <s v="Tasty New York"/>
    <x v="10"/>
    <n v="0"/>
    <n v="40765"/>
    <x v="2"/>
    <s v="2/4/2004"/>
    <n v="22"/>
    <s v="3543"/>
    <s v="1001"/>
    <n v="0"/>
    <n v="40765"/>
    <n v="0"/>
    <x v="0"/>
    <s v="F"/>
  </r>
  <r>
    <s v="147263"/>
    <s v="Tasty New York"/>
    <s v="Tasty New York"/>
    <x v="10"/>
    <n v="0"/>
    <n v="197353"/>
    <x v="2"/>
    <s v="2/26/2003"/>
    <n v="23"/>
    <s v="3543"/>
    <s v="1001"/>
    <n v="0"/>
    <n v="197353"/>
    <n v="0"/>
    <x v="6"/>
    <s v="M"/>
  </r>
  <r>
    <s v="147270"/>
    <s v="Tasty New York"/>
    <s v="Tasty New York"/>
    <x v="10"/>
    <n v="0"/>
    <n v="46367"/>
    <x v="2"/>
    <s v="1/1/1900"/>
    <n v="126"/>
    <s v="3543"/>
    <s v="1001"/>
    <n v="0"/>
    <n v="46367"/>
    <n v="0"/>
    <x v="0"/>
    <s v="F"/>
  </r>
  <r>
    <s v="147271"/>
    <s v="Tasty New York"/>
    <s v="Tasty New York"/>
    <x v="10"/>
    <n v="0"/>
    <n v="47056"/>
    <x v="2"/>
    <s v="2/25/1998"/>
    <n v="28"/>
    <s v="3543"/>
    <s v="1001"/>
    <n v="0"/>
    <n v="47056"/>
    <n v="0"/>
    <x v="0"/>
    <s v="F"/>
  </r>
  <r>
    <s v="147188"/>
    <s v="Tasty New York"/>
    <s v="Tasty New York"/>
    <x v="10"/>
    <n v="0"/>
    <n v="92324"/>
    <x v="2"/>
    <s v="12/4/2012"/>
    <n v="14"/>
    <s v="3543"/>
    <s v="1001"/>
    <n v="0"/>
    <n v="92324"/>
    <n v="0"/>
    <x v="4"/>
    <s v="F"/>
  </r>
  <r>
    <s v="147290"/>
    <s v="Tasty New York"/>
    <s v="Tasty New York"/>
    <x v="10"/>
    <n v="0"/>
    <n v="375852.28"/>
    <x v="2"/>
    <s v="9/13/2000"/>
    <n v="26"/>
    <s v="3543"/>
    <s v="1001"/>
    <n v="0"/>
    <n v="375852.28"/>
    <n v="0"/>
    <x v="6"/>
    <s v="F"/>
  </r>
  <r>
    <s v="147295"/>
    <s v="Tasty New York"/>
    <s v="Tasty New York"/>
    <x v="10"/>
    <n v="0"/>
    <n v="142610"/>
    <x v="2"/>
    <s v="5/8/2002"/>
    <n v="24"/>
    <s v="3543"/>
    <s v="1001"/>
    <n v="17113"/>
    <n v="159723"/>
    <n v="0.10714173913587899"/>
    <x v="7"/>
    <s v="M"/>
  </r>
  <r>
    <s v="147298"/>
    <s v="Tasty New York"/>
    <s v="Tasty New York"/>
    <x v="10"/>
    <n v="0"/>
    <n v="69641"/>
    <x v="2"/>
    <s v="1/5/2000"/>
    <n v="26"/>
    <s v="3543"/>
    <s v="1001"/>
    <n v="2786"/>
    <n v="72427"/>
    <n v="3.8466317809656619E-2"/>
    <x v="8"/>
    <s v="F"/>
  </r>
  <r>
    <s v="147301"/>
    <s v="Tasty New York"/>
    <s v="Tasty New York"/>
    <x v="10"/>
    <n v="0"/>
    <n v="70987"/>
    <x v="2"/>
    <s v="1/5/2000"/>
    <n v="26"/>
    <s v="3543"/>
    <s v="1001"/>
    <n v="2839"/>
    <n v="73826"/>
    <n v="3.8455286755343647E-2"/>
    <x v="8"/>
    <s v="F"/>
  </r>
  <r>
    <s v="147309"/>
    <s v="Tasty New York"/>
    <s v="Tasty New York"/>
    <x v="10"/>
    <n v="0"/>
    <n v="30985"/>
    <x v="2"/>
    <s v="9/23/1998"/>
    <n v="28"/>
    <s v="3543"/>
    <s v="1001"/>
    <n v="0"/>
    <n v="30985"/>
    <n v="0"/>
    <x v="0"/>
    <s v="F"/>
  </r>
  <r>
    <s v="135760"/>
    <s v="Tasty New York"/>
    <s v="Tasty New Jersey"/>
    <x v="7"/>
    <n v="0"/>
    <n v="95841"/>
    <x v="0"/>
    <s v="3/29/1995"/>
    <n v="31"/>
    <s v="3344"/>
    <s v="2976"/>
    <n v="0"/>
    <n v="95841"/>
    <n v="0"/>
    <x v="14"/>
    <s v="M"/>
  </r>
  <r>
    <s v="143508"/>
    <s v="Tasty New York"/>
    <s v="Tasty New Jersey"/>
    <x v="1"/>
    <n v="0"/>
    <n v="75865"/>
    <x v="0"/>
    <s v="6/20/2007"/>
    <n v="19"/>
    <s v="3318"/>
    <s v="2127"/>
    <n v="0"/>
    <n v="75865"/>
    <n v="0"/>
    <x v="14"/>
    <s v="F"/>
  </r>
  <r>
    <s v="147327"/>
    <s v="Tasty New York"/>
    <s v="Tasty New York"/>
    <x v="10"/>
    <n v="0"/>
    <n v="171238"/>
    <x v="1"/>
    <s v="10/1/2003"/>
    <n v="23"/>
    <s v="3543"/>
    <s v="1004"/>
    <n v="25686"/>
    <n v="196924"/>
    <n v="0.1304361073307469"/>
    <x v="5"/>
    <s v="M"/>
  </r>
  <r>
    <s v="147330"/>
    <s v="Tasty New York"/>
    <s v="Tasty New York"/>
    <x v="10"/>
    <n v="0"/>
    <n v="97390"/>
    <x v="1"/>
    <s v="11/14/2001"/>
    <n v="25"/>
    <s v="3543"/>
    <s v="1002"/>
    <n v="9739"/>
    <n v="107129"/>
    <n v="9.0909090909090912E-2"/>
    <x v="4"/>
    <s v="F"/>
  </r>
  <r>
    <m/>
    <m/>
    <m/>
    <x v="12"/>
    <s v="Total Salary:"/>
    <n v="17680971.109999999"/>
    <x v="5"/>
    <m/>
    <m/>
    <m/>
    <m/>
    <s v="Total:"/>
    <n v="19095383.109999999"/>
    <m/>
    <x v="2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A4F26-2F18-4BD7-BABE-FF784ED8991D}" name="PivotTable1" cacheId="35315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P89" firstHeaderRow="1" firstDataRow="2" firstDataCol="2"/>
  <pivotFields count="16">
    <pivotField dataField="1" compact="0" outline="0" showAll="0"/>
    <pivotField compact="0" outline="0" showAll="0"/>
    <pivotField compact="0" outline="0" showAll="0"/>
    <pivotField axis="axisCol" compact="0" outline="0" showAll="0">
      <items count="14">
        <item x="11"/>
        <item x="8"/>
        <item x="9"/>
        <item x="1"/>
        <item x="3"/>
        <item x="6"/>
        <item x="10"/>
        <item x="7"/>
        <item x="0"/>
        <item x="4"/>
        <item x="5"/>
        <item x="2"/>
        <item x="12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axis="axisRow" compact="0" outline="0" showAll="0">
      <items count="29">
        <item x="0"/>
        <item x="1"/>
        <item x="25"/>
        <item x="6"/>
        <item x="10"/>
        <item x="11"/>
        <item x="2"/>
        <item x="9"/>
        <item x="15"/>
        <item x="12"/>
        <item x="13"/>
        <item x="3"/>
        <item x="17"/>
        <item x="18"/>
        <item x="19"/>
        <item x="20"/>
        <item x="5"/>
        <item x="7"/>
        <item x="4"/>
        <item x="8"/>
        <item x="22"/>
        <item x="23"/>
        <item x="21"/>
        <item x="24"/>
        <item x="14"/>
        <item x="16"/>
        <item x="26"/>
        <item x="27"/>
        <item t="default"/>
      </items>
    </pivotField>
    <pivotField compact="0" outline="0" showAll="0"/>
  </pivotFields>
  <rowFields count="2">
    <field x="14"/>
    <field x="-2"/>
  </rowFields>
  <rowItems count="87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>
      <x v="6"/>
      <x/>
    </i>
    <i r="1" i="1">
      <x v="1"/>
    </i>
    <i r="1" i="2">
      <x v="2"/>
    </i>
    <i>
      <x v="7"/>
      <x/>
    </i>
    <i r="1" i="1">
      <x v="1"/>
    </i>
    <i r="1" i="2">
      <x v="2"/>
    </i>
    <i>
      <x v="8"/>
      <x/>
    </i>
    <i r="1" i="1">
      <x v="1"/>
    </i>
    <i r="1" i="2">
      <x v="2"/>
    </i>
    <i>
      <x v="9"/>
      <x/>
    </i>
    <i r="1" i="1">
      <x v="1"/>
    </i>
    <i r="1" i="2">
      <x v="2"/>
    </i>
    <i>
      <x v="10"/>
      <x/>
    </i>
    <i r="1" i="1">
      <x v="1"/>
    </i>
    <i r="1" i="2">
      <x v="2"/>
    </i>
    <i>
      <x v="11"/>
      <x/>
    </i>
    <i r="1" i="1">
      <x v="1"/>
    </i>
    <i r="1" i="2">
      <x v="2"/>
    </i>
    <i>
      <x v="12"/>
      <x/>
    </i>
    <i r="1" i="1">
      <x v="1"/>
    </i>
    <i r="1" i="2">
      <x v="2"/>
    </i>
    <i>
      <x v="13"/>
      <x/>
    </i>
    <i r="1" i="1">
      <x v="1"/>
    </i>
    <i r="1" i="2">
      <x v="2"/>
    </i>
    <i>
      <x v="14"/>
      <x/>
    </i>
    <i r="1" i="1">
      <x v="1"/>
    </i>
    <i r="1" i="2">
      <x v="2"/>
    </i>
    <i>
      <x v="15"/>
      <x/>
    </i>
    <i r="1" i="1">
      <x v="1"/>
    </i>
    <i r="1" i="2">
      <x v="2"/>
    </i>
    <i>
      <x v="16"/>
      <x/>
    </i>
    <i r="1" i="1">
      <x v="1"/>
    </i>
    <i r="1" i="2">
      <x v="2"/>
    </i>
    <i>
      <x v="17"/>
      <x/>
    </i>
    <i r="1" i="1">
      <x v="1"/>
    </i>
    <i r="1" i="2">
      <x v="2"/>
    </i>
    <i>
      <x v="18"/>
      <x/>
    </i>
    <i r="1" i="1">
      <x v="1"/>
    </i>
    <i r="1" i="2">
      <x v="2"/>
    </i>
    <i>
      <x v="19"/>
      <x/>
    </i>
    <i r="1" i="1">
      <x v="1"/>
    </i>
    <i r="1" i="2">
      <x v="2"/>
    </i>
    <i>
      <x v="20"/>
      <x/>
    </i>
    <i r="1" i="1">
      <x v="1"/>
    </i>
    <i r="1" i="2">
      <x v="2"/>
    </i>
    <i>
      <x v="21"/>
      <x/>
    </i>
    <i r="1" i="1">
      <x v="1"/>
    </i>
    <i r="1" i="2">
      <x v="2"/>
    </i>
    <i>
      <x v="22"/>
      <x/>
    </i>
    <i r="1" i="1">
      <x v="1"/>
    </i>
    <i r="1" i="2">
      <x v="2"/>
    </i>
    <i>
      <x v="23"/>
      <x/>
    </i>
    <i r="1" i="1">
      <x v="1"/>
    </i>
    <i r="1" i="2">
      <x v="2"/>
    </i>
    <i>
      <x v="24"/>
      <x/>
    </i>
    <i r="1" i="1">
      <x v="1"/>
    </i>
    <i r="1" i="2">
      <x v="2"/>
    </i>
    <i>
      <x v="25"/>
      <x/>
    </i>
    <i r="1" i="1">
      <x v="1"/>
    </i>
    <i r="1" i="2">
      <x v="2"/>
    </i>
    <i>
      <x v="26"/>
      <x/>
    </i>
    <i r="1" i="1">
      <x v="1"/>
    </i>
    <i r="1" i="2">
      <x v="2"/>
    </i>
    <i>
      <x v="27"/>
      <x/>
    </i>
    <i r="1" i="1">
      <x v="1"/>
    </i>
    <i r="1" i="2">
      <x v="2"/>
    </i>
    <i t="grand">
      <x/>
    </i>
    <i t="grand" i="1">
      <x/>
    </i>
    <i t="grand" i="2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3">
    <dataField name="Count of Employee ID" fld="0" subtotal="count" baseField="0" baseItem="0"/>
    <dataField name="Average of Total Compensation" fld="12" subtotal="average" baseField="0" baseItem="0" numFmtId="164"/>
    <dataField name="Average of Tenure (years)" fld="8" subtotal="average" baseField="0" baseItem="0"/>
  </dataFields>
  <formats count="84">
    <format dxfId="39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0"/>
          </reference>
        </references>
      </pivotArea>
    </format>
    <format dxfId="40">
      <pivotArea dataOnly="0" labelOnly="1" outline="0" fieldPosition="0">
        <references count="1">
          <reference field="14" count="1">
            <x v="0"/>
          </reference>
        </references>
      </pivotArea>
    </format>
    <format dxfId="4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0"/>
          </reference>
        </references>
      </pivotArea>
    </format>
    <format dxfId="42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2"/>
          </reference>
        </references>
      </pivotArea>
    </format>
    <format dxfId="43">
      <pivotArea dataOnly="0" labelOnly="1" outline="0" fieldPosition="0">
        <references count="1">
          <reference field="14" count="1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2"/>
          </reference>
        </references>
      </pivotArea>
    </format>
    <format dxfId="45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4"/>
          </reference>
        </references>
      </pivotArea>
    </format>
    <format dxfId="46">
      <pivotArea dataOnly="0" labelOnly="1" outline="0" fieldPosition="0">
        <references count="1">
          <reference field="14" count="1">
            <x v="4"/>
          </reference>
        </references>
      </pivotArea>
    </format>
    <format dxfId="4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4"/>
          </reference>
        </references>
      </pivotArea>
    </format>
    <format dxfId="48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6"/>
          </reference>
        </references>
      </pivotArea>
    </format>
    <format dxfId="49">
      <pivotArea dataOnly="0" labelOnly="1" outline="0" fieldPosition="0">
        <references count="1">
          <reference field="14" count="1">
            <x v="6"/>
          </reference>
        </references>
      </pivotArea>
    </format>
    <format dxfId="5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6"/>
          </reference>
        </references>
      </pivotArea>
    </format>
    <format dxfId="51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8"/>
          </reference>
        </references>
      </pivotArea>
    </format>
    <format dxfId="52">
      <pivotArea dataOnly="0" labelOnly="1" outline="0" fieldPosition="0">
        <references count="1">
          <reference field="14" count="1">
            <x v="8"/>
          </reference>
        </references>
      </pivotArea>
    </format>
    <format dxfId="5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8"/>
          </reference>
        </references>
      </pivotArea>
    </format>
    <format dxfId="54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10"/>
          </reference>
        </references>
      </pivotArea>
    </format>
    <format dxfId="55">
      <pivotArea dataOnly="0" labelOnly="1" outline="0" fieldPosition="0">
        <references count="1">
          <reference field="14" count="1">
            <x v="10"/>
          </reference>
        </references>
      </pivotArea>
    </format>
    <format dxfId="5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10"/>
          </reference>
        </references>
      </pivotArea>
    </format>
    <format dxfId="57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12"/>
          </reference>
        </references>
      </pivotArea>
    </format>
    <format dxfId="58">
      <pivotArea dataOnly="0" labelOnly="1" outline="0" fieldPosition="0">
        <references count="1">
          <reference field="14" count="1">
            <x v="12"/>
          </reference>
        </references>
      </pivotArea>
    </format>
    <format dxfId="5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12"/>
          </reference>
        </references>
      </pivotArea>
    </format>
    <format dxfId="60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14"/>
          </reference>
        </references>
      </pivotArea>
    </format>
    <format dxfId="61">
      <pivotArea dataOnly="0" labelOnly="1" outline="0" fieldPosition="0">
        <references count="1">
          <reference field="14" count="1">
            <x v="14"/>
          </reference>
        </references>
      </pivotArea>
    </format>
    <format dxfId="6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14"/>
          </reference>
        </references>
      </pivotArea>
    </format>
    <format dxfId="63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16"/>
          </reference>
        </references>
      </pivotArea>
    </format>
    <format dxfId="64">
      <pivotArea dataOnly="0" labelOnly="1" outline="0" fieldPosition="0">
        <references count="1">
          <reference field="14" count="1">
            <x v="16"/>
          </reference>
        </references>
      </pivotArea>
    </format>
    <format dxfId="6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16"/>
          </reference>
        </references>
      </pivotArea>
    </format>
    <format dxfId="66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18"/>
          </reference>
        </references>
      </pivotArea>
    </format>
    <format dxfId="67">
      <pivotArea dataOnly="0" labelOnly="1" outline="0" fieldPosition="0">
        <references count="1">
          <reference field="14" count="1">
            <x v="18"/>
          </reference>
        </references>
      </pivotArea>
    </format>
    <format dxfId="6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18"/>
          </reference>
        </references>
      </pivotArea>
    </format>
    <format dxfId="69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20"/>
          </reference>
        </references>
      </pivotArea>
    </format>
    <format dxfId="70">
      <pivotArea dataOnly="0" labelOnly="1" outline="0" fieldPosition="0">
        <references count="1">
          <reference field="14" count="1">
            <x v="20"/>
          </reference>
        </references>
      </pivotArea>
    </format>
    <format dxfId="7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20"/>
          </reference>
        </references>
      </pivotArea>
    </format>
    <format dxfId="72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22"/>
          </reference>
        </references>
      </pivotArea>
    </format>
    <format dxfId="73">
      <pivotArea dataOnly="0" labelOnly="1" outline="0" fieldPosition="0">
        <references count="1">
          <reference field="14" count="1">
            <x v="22"/>
          </reference>
        </references>
      </pivotArea>
    </format>
    <format dxfId="7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22"/>
          </reference>
        </references>
      </pivotArea>
    </format>
    <format dxfId="75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24"/>
          </reference>
        </references>
      </pivotArea>
    </format>
    <format dxfId="76">
      <pivotArea dataOnly="0" labelOnly="1" outline="0" fieldPosition="0">
        <references count="1">
          <reference field="14" count="1">
            <x v="24"/>
          </reference>
        </references>
      </pivotArea>
    </format>
    <format dxfId="7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24"/>
          </reference>
        </references>
      </pivotArea>
    </format>
    <format dxfId="78">
      <pivotArea outline="0" fieldPosition="0">
        <references count="2">
          <reference field="4294967294" count="3" selected="0">
            <x v="0"/>
            <x v="1"/>
            <x v="2"/>
          </reference>
          <reference field="14" count="1" selected="0">
            <x v="26"/>
          </reference>
        </references>
      </pivotArea>
    </format>
    <format dxfId="79">
      <pivotArea dataOnly="0" labelOnly="1" outline="0" fieldPosition="0">
        <references count="1">
          <reference field="14" count="1">
            <x v="26"/>
          </reference>
        </references>
      </pivotArea>
    </format>
    <format dxfId="8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4" count="1" selected="0">
            <x v="26"/>
          </reference>
        </references>
      </pivotArea>
    </format>
    <format dxfId="81">
      <pivotArea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format>
    <format dxfId="82">
      <pivotArea dataOnly="0" labelOnly="1" outline="0" offset="IV2" fieldPosition="0">
        <references count="1">
          <reference field="14" count="1">
            <x v="0"/>
          </reference>
        </references>
      </pivotArea>
    </format>
    <format dxfId="83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0"/>
          </reference>
        </references>
      </pivotArea>
    </format>
    <format dxfId="84">
      <pivotArea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format>
    <format dxfId="85">
      <pivotArea dataOnly="0" labelOnly="1" outline="0" offset="IV2" fieldPosition="0">
        <references count="1">
          <reference field="14" count="1">
            <x v="2"/>
          </reference>
        </references>
      </pivotArea>
    </format>
    <format dxfId="86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2"/>
          </reference>
        </references>
      </pivotArea>
    </format>
    <format dxfId="87">
      <pivotArea outline="0" fieldPosition="0">
        <references count="2">
          <reference field="4294967294" count="1" selected="0">
            <x v="1"/>
          </reference>
          <reference field="14" count="1" selected="0">
            <x v="4"/>
          </reference>
        </references>
      </pivotArea>
    </format>
    <format dxfId="88">
      <pivotArea dataOnly="0" labelOnly="1" outline="0" offset="IV2" fieldPosition="0">
        <references count="1">
          <reference field="14" count="1">
            <x v="4"/>
          </reference>
        </references>
      </pivotArea>
    </format>
    <format dxfId="89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4"/>
          </reference>
        </references>
      </pivotArea>
    </format>
    <format dxfId="90">
      <pivotArea outline="0" fieldPosition="0">
        <references count="2">
          <reference field="4294967294" count="1" selected="0">
            <x v="1"/>
          </reference>
          <reference field="14" count="1" selected="0">
            <x v="6"/>
          </reference>
        </references>
      </pivotArea>
    </format>
    <format dxfId="91">
      <pivotArea dataOnly="0" labelOnly="1" outline="0" offset="IV2" fieldPosition="0">
        <references count="1">
          <reference field="14" count="1">
            <x v="6"/>
          </reference>
        </references>
      </pivotArea>
    </format>
    <format dxfId="92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6"/>
          </reference>
        </references>
      </pivotArea>
    </format>
    <format dxfId="93">
      <pivotArea outline="0" fieldPosition="0">
        <references count="2">
          <reference field="4294967294" count="1" selected="0">
            <x v="1"/>
          </reference>
          <reference field="14" count="1" selected="0">
            <x v="8"/>
          </reference>
        </references>
      </pivotArea>
    </format>
    <format dxfId="94">
      <pivotArea dataOnly="0" labelOnly="1" outline="0" offset="IV2" fieldPosition="0">
        <references count="1">
          <reference field="14" count="1">
            <x v="8"/>
          </reference>
        </references>
      </pivotArea>
    </format>
    <format dxfId="95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8"/>
          </reference>
        </references>
      </pivotArea>
    </format>
    <format dxfId="96">
      <pivotArea outline="0" fieldPosition="0">
        <references count="2">
          <reference field="4294967294" count="1" selected="0">
            <x v="1"/>
          </reference>
          <reference field="14" count="1" selected="0">
            <x v="10"/>
          </reference>
        </references>
      </pivotArea>
    </format>
    <format dxfId="97">
      <pivotArea dataOnly="0" labelOnly="1" outline="0" offset="IV2" fieldPosition="0">
        <references count="1">
          <reference field="14" count="1">
            <x v="10"/>
          </reference>
        </references>
      </pivotArea>
    </format>
    <format dxfId="98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10"/>
          </reference>
        </references>
      </pivotArea>
    </format>
    <format dxfId="99">
      <pivotArea outline="0" fieldPosition="0">
        <references count="2">
          <reference field="4294967294" count="1" selected="0">
            <x v="1"/>
          </reference>
          <reference field="14" count="1" selected="0">
            <x v="12"/>
          </reference>
        </references>
      </pivotArea>
    </format>
    <format dxfId="100">
      <pivotArea dataOnly="0" labelOnly="1" outline="0" offset="IV2" fieldPosition="0">
        <references count="1">
          <reference field="14" count="1">
            <x v="12"/>
          </reference>
        </references>
      </pivotArea>
    </format>
    <format dxfId="101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12"/>
          </reference>
        </references>
      </pivotArea>
    </format>
    <format dxfId="102">
      <pivotArea outline="0" fieldPosition="0">
        <references count="2">
          <reference field="4294967294" count="1" selected="0">
            <x v="1"/>
          </reference>
          <reference field="14" count="1" selected="0">
            <x v="14"/>
          </reference>
        </references>
      </pivotArea>
    </format>
    <format dxfId="103">
      <pivotArea dataOnly="0" labelOnly="1" outline="0" offset="IV2" fieldPosition="0">
        <references count="1">
          <reference field="14" count="1">
            <x v="14"/>
          </reference>
        </references>
      </pivotArea>
    </format>
    <format dxfId="104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14"/>
          </reference>
        </references>
      </pivotArea>
    </format>
    <format dxfId="105">
      <pivotArea outline="0" fieldPosition="0">
        <references count="2">
          <reference field="4294967294" count="1" selected="0">
            <x v="1"/>
          </reference>
          <reference field="14" count="1" selected="0">
            <x v="16"/>
          </reference>
        </references>
      </pivotArea>
    </format>
    <format dxfId="106">
      <pivotArea dataOnly="0" labelOnly="1" outline="0" offset="IV2" fieldPosition="0">
        <references count="1">
          <reference field="14" count="1">
            <x v="16"/>
          </reference>
        </references>
      </pivotArea>
    </format>
    <format dxfId="107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16"/>
          </reference>
        </references>
      </pivotArea>
    </format>
    <format dxfId="108">
      <pivotArea outline="0" fieldPosition="0">
        <references count="2">
          <reference field="4294967294" count="1" selected="0">
            <x v="1"/>
          </reference>
          <reference field="14" count="1" selected="0">
            <x v="18"/>
          </reference>
        </references>
      </pivotArea>
    </format>
    <format dxfId="109">
      <pivotArea dataOnly="0" labelOnly="1" outline="0" offset="IV2" fieldPosition="0">
        <references count="1">
          <reference field="14" count="1">
            <x v="18"/>
          </reference>
        </references>
      </pivotArea>
    </format>
    <format dxfId="110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18"/>
          </reference>
        </references>
      </pivotArea>
    </format>
    <format dxfId="111">
      <pivotArea outline="0" fieldPosition="0">
        <references count="2">
          <reference field="4294967294" count="1" selected="0">
            <x v="1"/>
          </reference>
          <reference field="14" count="1" selected="0">
            <x v="20"/>
          </reference>
        </references>
      </pivotArea>
    </format>
    <format dxfId="112">
      <pivotArea dataOnly="0" labelOnly="1" outline="0" offset="IV2" fieldPosition="0">
        <references count="1">
          <reference field="14" count="1">
            <x v="20"/>
          </reference>
        </references>
      </pivotArea>
    </format>
    <format dxfId="113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20"/>
          </reference>
        </references>
      </pivotArea>
    </format>
    <format dxfId="114">
      <pivotArea outline="0" fieldPosition="0">
        <references count="2">
          <reference field="4294967294" count="1" selected="0">
            <x v="1"/>
          </reference>
          <reference field="14" count="1" selected="0">
            <x v="22"/>
          </reference>
        </references>
      </pivotArea>
    </format>
    <format dxfId="115">
      <pivotArea dataOnly="0" labelOnly="1" outline="0" offset="IV2" fieldPosition="0">
        <references count="1">
          <reference field="14" count="1">
            <x v="22"/>
          </reference>
        </references>
      </pivotArea>
    </format>
    <format dxfId="116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22"/>
          </reference>
        </references>
      </pivotArea>
    </format>
    <format dxfId="117">
      <pivotArea outline="0" fieldPosition="0">
        <references count="2">
          <reference field="4294967294" count="1" selected="0">
            <x v="1"/>
          </reference>
          <reference field="14" count="1" selected="0">
            <x v="24"/>
          </reference>
        </references>
      </pivotArea>
    </format>
    <format dxfId="118">
      <pivotArea dataOnly="0" labelOnly="1" outline="0" offset="IV2" fieldPosition="0">
        <references count="1">
          <reference field="14" count="1">
            <x v="24"/>
          </reference>
        </references>
      </pivotArea>
    </format>
    <format dxfId="119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24"/>
          </reference>
        </references>
      </pivotArea>
    </format>
    <format dxfId="120">
      <pivotArea outline="0" fieldPosition="0">
        <references count="2">
          <reference field="4294967294" count="1" selected="0">
            <x v="1"/>
          </reference>
          <reference field="14" count="1" selected="0">
            <x v="26"/>
          </reference>
        </references>
      </pivotArea>
    </format>
    <format dxfId="121">
      <pivotArea dataOnly="0" labelOnly="1" outline="0" offset="IV2" fieldPosition="0">
        <references count="1">
          <reference field="14" count="1">
            <x v="26"/>
          </reference>
        </references>
      </pivotArea>
    </format>
    <format dxfId="122">
      <pivotArea dataOnly="0" labelOnly="1" outline="0" fieldPosition="0">
        <references count="2">
          <reference field="4294967294" count="1">
            <x v="1"/>
          </reference>
          <reference field="14" count="1" selected="0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3421A-784F-4F8E-AF2C-B749ED2A5048}" name="PivotTable2" cacheId="353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B9" firstHeaderRow="1" firstDataRow="1" firstDataCol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7">
        <item x="2"/>
        <item x="0"/>
        <item x="4"/>
        <item x="1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156B2F-C35A-4F01-BE70-529BAAF5FC13}" autoFormatId="16" applyNumberFormats="0" applyBorderFormats="0" applyFontFormats="0" applyPatternFormats="0" applyAlignmentFormats="0" applyWidthHeightFormats="0">
  <queryTableRefresh nextId="18" unboundColumnsRight="6">
    <queryTableFields count="17">
      <queryTableField id="1" name="Column1" tableColumnId="1"/>
      <queryTableField id="2" name="Column2" tableColumnId="2"/>
      <queryTableField id="12" dataBound="0" tableColumnId="13"/>
      <queryTableField id="3" name="Column3" tableColumnId="3"/>
      <queryTableField id="13" dataBound="0" tableColumnId="14"/>
      <queryTableField id="4" name="Column4" tableColumnId="4"/>
      <queryTableField id="5" name="Column5" tableColumnId="5"/>
      <queryTableField id="6" name="Column6" tableColumnId="6"/>
      <queryTableField id="11" dataBound="0" tableColumnId="11"/>
      <queryTableField id="7" name="Column7" tableColumnId="7"/>
      <queryTableField id="8" name="Column8" tableColumnId="8"/>
      <queryTableField id="10" dataBound="0" tableColumnId="12"/>
      <queryTableField id="9" dataBound="0" tableColumnId="9"/>
      <queryTableField id="17" dataBound="0" tableColumnId="16"/>
      <queryTableField id="15" dataBound="0" tableColumnId="10"/>
      <queryTableField id="16" dataBound="0" tableColumnId="15"/>
      <queryTableField id="14" dataBound="0" tableColumnId="17"/>
    </queryTableFields>
    <queryTableDeletedFields count="1">
      <deletedField name="Column9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6715221-4E9B-4353-BB1D-0B6669F9F15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CCCFD4-91D5-4224-8DFA-6BD476B576AE}" name="_02_data_file_1_payroll_data" displayName="_02_data_file_1_payroll_data" ref="A1:P204" tableType="queryTable" totalsRowCount="1" headerRowDxfId="38" dataDxfId="37" totalsRowDxfId="36">
  <autoFilter ref="A1:P203" xr:uid="{F4CCCFD4-91D5-4224-8DFA-6BD476B576AE}"/>
  <tableColumns count="16">
    <tableColumn id="1" xr3:uid="{3E2507B3-6A92-4CB8-B539-E60C0F3D751A}" uniqueName="1" name="Employee ID" queryTableFieldId="1" dataDxfId="34" totalsRowDxfId="35"/>
    <tableColumn id="2" xr3:uid="{B01B4BF4-8AEB-4F18-B9A7-F2633877C4D0}" uniqueName="2" name="Division" queryTableFieldId="2" dataDxfId="32" totalsRowDxfId="33"/>
    <tableColumn id="13" xr3:uid="{5943DCC2-28A8-461F-8722-B5C3AD6B1761}" uniqueName="13" name="Corrected Division" queryTableFieldId="12" dataDxfId="30" totalsRowDxfId="31">
      <calculatedColumnFormula>IF(G2="NJ","Tasty New Jersey",B2)</calculatedColumnFormula>
    </tableColumn>
    <tableColumn id="3" xr3:uid="{B185B833-42BE-4445-B501-77DDA31915A6}" uniqueName="3" name="Operating Unit" queryTableFieldId="3" dataDxfId="28" totalsRowDxfId="29"/>
    <tableColumn id="14" xr3:uid="{691AEA48-A83E-4AE8-A6BD-D15C229551C3}" uniqueName="14" name="Is Tasty (0/1)" totalsRowLabel="Average Salary:" queryTableFieldId="13" dataDxfId="26" totalsRowDxfId="27">
      <calculatedColumnFormula>IF(LEFT(D2,5)="Tasty",1,0)</calculatedColumnFormula>
    </tableColumn>
    <tableColumn id="4" xr3:uid="{64ECCE54-1E0D-4FAB-8A32-63A9213FCFF9}" uniqueName="4" name="Salary" totalsRowFunction="custom" queryTableFieldId="4" dataDxfId="24" totalsRowDxfId="25">
      <totalsRowFormula>AVERAGE(F2:F202)</totalsRowFormula>
    </tableColumn>
    <tableColumn id="5" xr3:uid="{CE539B95-7C66-4CEA-B093-0522154E439C}" uniqueName="5" name="State" queryTableFieldId="5" dataDxfId="22" totalsRowDxfId="23"/>
    <tableColumn id="6" xr3:uid="{409A9DC8-611B-49A0-A61F-F048557B8275}" uniqueName="6" name="Start Date" queryTableFieldId="6" dataDxfId="20" totalsRowDxfId="21"/>
    <tableColumn id="11" xr3:uid="{280BE72F-C670-455C-B8B2-EABF2BFC4E53}" uniqueName="11" name="Tenure (years)" queryTableFieldId="11" dataDxfId="18" totalsRowDxfId="19">
      <calculatedColumnFormula>YEAR(TODAY())-YEAR(H2)</calculatedColumnFormula>
    </tableColumn>
    <tableColumn id="7" xr3:uid="{C79CC8BC-7438-4008-A9DB-1EB8C4C11826}" uniqueName="7" name="Division2" queryTableFieldId="7" dataDxfId="16" totalsRowDxfId="17"/>
    <tableColumn id="8" xr3:uid="{74C71ABA-1ECC-4097-92FA-A0AA09E2C6E8}" uniqueName="8" name="Dept" queryTableFieldId="8" dataDxfId="14" totalsRowDxfId="15"/>
    <tableColumn id="12" xr3:uid="{060AEB95-3ACC-40BD-AEDD-D19B0180EC7E}" uniqueName="12" name="Overtime Pay" totalsRowLabel="Average:" queryTableFieldId="10" dataDxfId="12" totalsRowDxfId="13"/>
    <tableColumn id="9" xr3:uid="{FAB349A8-62A5-4358-8E53-054249D861E7}" uniqueName="9" name="Total Compensation" totalsRowFunction="custom" queryTableFieldId="9" dataDxfId="10" totalsRowDxfId="11">
      <totalsRowFormula>SUBTOTAL(101,M2:M202)</totalsRowFormula>
    </tableColumn>
    <tableColumn id="16" xr3:uid="{0A209EB1-8A04-41B5-A9D1-634BAD5D371F}" uniqueName="16" name="Overtime %" totalsRowFunction="custom" queryTableFieldId="17" dataDxfId="8" totalsRowDxfId="9">
      <calculatedColumnFormula>L2/M2</calculatedColumnFormula>
      <totalsRowFormula>AVERAGEIF(L2:L202,"&gt;0",N2:N202)</totalsRowFormula>
    </tableColumn>
    <tableColumn id="10" xr3:uid="{09424055-8EFC-4AD1-AC5B-EA9AD0E1BAC1}" uniqueName="10" name="Job Title" queryTableFieldId="15" dataDxfId="6" totalsRowDxfId="7">
      <calculatedColumnFormula>_xlfn.XLOOKUP(A2,'Reference Data'!A:A,'Reference Data'!B:B)</calculatedColumnFormula>
    </tableColumn>
    <tableColumn id="15" xr3:uid="{A512003C-8C6F-4154-9CF4-4A323B729EF9}" uniqueName="15" name="Gender" queryTableFieldId="16" dataDxfId="4" totalsRowDxfId="5">
      <calculatedColumnFormula>_xlfn.XLOOKUP(A2,'Reference Data'!A:A,'Reference Data'!C:C)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C1BB13-29D4-49CA-B0B3-5C0D7169BC87}" name="_02_data_file_2_reference_data" displayName="_02_data_file_2_reference_data" ref="A1:D200" tableType="queryTable" totalsRowShown="0">
  <autoFilter ref="A1:D200" xr:uid="{4EC1BB13-29D4-49CA-B0B3-5C0D7169BC87}"/>
  <tableColumns count="4">
    <tableColumn id="1" xr3:uid="{D7B1E771-C21E-42A5-8E42-D4F8BB01D880}" uniqueName="1" name="Column1" queryTableFieldId="1" dataDxfId="3"/>
    <tableColumn id="2" xr3:uid="{A73B4F9D-378E-46E4-B038-850DDCA9144E}" uniqueName="2" name="Column2" queryTableFieldId="2" dataDxfId="2"/>
    <tableColumn id="3" xr3:uid="{FDABD41D-FBAA-439E-968F-D0CE823B7C10}" uniqueName="3" name="Column3" queryTableFieldId="3" dataDxfId="1"/>
    <tableColumn id="4" xr3:uid="{1F663A19-AD53-4D7D-8480-951BD913AB5E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3D20-ABC4-7E40-A2B9-DA50342329A9}">
  <dimension ref="A1:O25"/>
  <sheetViews>
    <sheetView tabSelected="1" topLeftCell="A11" workbookViewId="0">
      <selection activeCell="B24" sqref="B24"/>
    </sheetView>
  </sheetViews>
  <sheetFormatPr defaultColWidth="11.25" defaultRowHeight="15.75"/>
  <cols>
    <col min="1" max="1" width="145.5" style="21" bestFit="1" customWidth="1"/>
    <col min="2" max="2" width="34" style="21" bestFit="1" customWidth="1"/>
    <col min="3" max="3" width="51.5" style="21" customWidth="1"/>
    <col min="4" max="4" width="52.625" style="21" customWidth="1"/>
    <col min="5" max="16384" width="11.25" style="21"/>
  </cols>
  <sheetData>
    <row r="1" spans="1:15" ht="20.25">
      <c r="A1" s="23" t="s">
        <v>0</v>
      </c>
      <c r="B1" s="24"/>
      <c r="C1" s="24"/>
      <c r="D1" s="24"/>
    </row>
    <row r="2" spans="1:15" ht="18.75">
      <c r="A2" s="25" t="s">
        <v>1</v>
      </c>
      <c r="B2" s="26" t="s">
        <v>2</v>
      </c>
      <c r="C2" s="24"/>
      <c r="D2" s="24"/>
    </row>
    <row r="3" spans="1:15" ht="18.75">
      <c r="A3" s="27" t="s">
        <v>3</v>
      </c>
      <c r="B3" s="28" t="s">
        <v>4</v>
      </c>
      <c r="C3" s="24"/>
      <c r="D3" s="24"/>
      <c r="N3" s="21">
        <f>Exercises!C14</f>
        <v>0</v>
      </c>
      <c r="O3" s="21" t="str">
        <f>Exercises!C16</f>
        <v>XLOOKUP(A3,'Reference Data'!A:A,'Reference Data'!C:C)</v>
      </c>
    </row>
    <row r="4" spans="1:15" ht="18.75">
      <c r="A4" s="27" t="s">
        <v>5</v>
      </c>
      <c r="B4" s="24">
        <v>201</v>
      </c>
      <c r="C4" s="24"/>
      <c r="D4" s="24"/>
    </row>
    <row r="5" spans="1:15" ht="18.75">
      <c r="A5" s="27" t="s">
        <v>6</v>
      </c>
      <c r="B5" s="24">
        <v>9</v>
      </c>
      <c r="C5" s="24" t="s">
        <v>7</v>
      </c>
      <c r="D5" s="24"/>
    </row>
    <row r="6" spans="1:15" ht="18.75">
      <c r="A6" s="27" t="s">
        <v>8</v>
      </c>
      <c r="B6" s="29">
        <v>87965.03</v>
      </c>
      <c r="C6" s="24" t="s">
        <v>9</v>
      </c>
      <c r="D6" s="24"/>
    </row>
    <row r="7" spans="1:15" ht="18.75">
      <c r="A7" s="27" t="s">
        <v>10</v>
      </c>
      <c r="B7" s="24">
        <v>86</v>
      </c>
      <c r="C7" s="24"/>
      <c r="D7" s="24"/>
    </row>
    <row r="8" spans="1:15" ht="20.25">
      <c r="A8" s="23" t="s">
        <v>11</v>
      </c>
      <c r="B8" s="30"/>
      <c r="C8" s="24"/>
      <c r="D8" s="24"/>
    </row>
    <row r="9" spans="1:15" ht="76.5">
      <c r="A9" s="27" t="s">
        <v>12</v>
      </c>
      <c r="B9" s="31" t="s">
        <v>13</v>
      </c>
      <c r="C9" s="24"/>
      <c r="D9" s="24"/>
    </row>
    <row r="10" spans="1:15" ht="18.75">
      <c r="A10" s="27" t="s">
        <v>14</v>
      </c>
      <c r="B10" s="29">
        <v>95001.906019900489</v>
      </c>
      <c r="C10" s="32" t="s">
        <v>15</v>
      </c>
      <c r="D10" s="24"/>
    </row>
    <row r="11" spans="1:15" ht="18.75">
      <c r="A11" s="27" t="s">
        <v>16</v>
      </c>
      <c r="B11" s="24" t="s">
        <v>4</v>
      </c>
      <c r="C11" s="32" t="s">
        <v>17</v>
      </c>
      <c r="D11" s="24"/>
    </row>
    <row r="12" spans="1:15" ht="18.75">
      <c r="A12" s="27" t="s">
        <v>18</v>
      </c>
      <c r="B12" s="24" t="s">
        <v>4</v>
      </c>
      <c r="C12" s="24" t="s">
        <v>19</v>
      </c>
      <c r="D12" s="24"/>
    </row>
    <row r="13" spans="1:15" ht="18.75">
      <c r="A13" s="27" t="s">
        <v>20</v>
      </c>
      <c r="B13" s="24" t="s">
        <v>4</v>
      </c>
      <c r="C13" s="24" t="s">
        <v>21</v>
      </c>
      <c r="D13" s="24"/>
    </row>
    <row r="14" spans="1:15" ht="18.75">
      <c r="A14" s="27" t="s">
        <v>22</v>
      </c>
      <c r="B14" s="24" t="s">
        <v>4</v>
      </c>
      <c r="C14" s="24"/>
      <c r="D14" s="24"/>
    </row>
    <row r="15" spans="1:15" ht="18.75">
      <c r="A15" s="27" t="s">
        <v>23</v>
      </c>
      <c r="B15" s="24" t="s">
        <v>4</v>
      </c>
      <c r="C15" s="24" t="s">
        <v>24</v>
      </c>
      <c r="D15" s="24" t="s">
        <v>25</v>
      </c>
    </row>
    <row r="16" spans="1:15" ht="20.25">
      <c r="A16" s="23" t="s">
        <v>26</v>
      </c>
      <c r="B16" s="30"/>
      <c r="C16" s="24" t="s">
        <v>27</v>
      </c>
      <c r="D16" s="24"/>
    </row>
    <row r="17" spans="1:4" ht="18.75">
      <c r="A17" s="27" t="s">
        <v>28</v>
      </c>
      <c r="B17" s="33">
        <v>0.1351</v>
      </c>
      <c r="C17" s="24" t="s">
        <v>29</v>
      </c>
      <c r="D17" s="24"/>
    </row>
    <row r="18" spans="1:4" ht="78">
      <c r="A18" s="34" t="s">
        <v>30</v>
      </c>
      <c r="B18" s="24" t="s">
        <v>4</v>
      </c>
      <c r="C18" s="31" t="s">
        <v>31</v>
      </c>
      <c r="D18" s="24"/>
    </row>
    <row r="19" spans="1:4" ht="30.75">
      <c r="A19" s="27" t="s">
        <v>32</v>
      </c>
      <c r="B19" s="24" t="s">
        <v>4</v>
      </c>
      <c r="C19" s="24"/>
      <c r="D19" s="31" t="s">
        <v>33</v>
      </c>
    </row>
    <row r="20" spans="1:4" ht="20.25">
      <c r="A20" s="23" t="s">
        <v>34</v>
      </c>
      <c r="B20" s="30"/>
      <c r="C20" s="24"/>
      <c r="D20" s="24"/>
    </row>
    <row r="21" spans="1:4" ht="18.75">
      <c r="A21" s="27" t="s">
        <v>35</v>
      </c>
      <c r="B21" s="24" t="s">
        <v>4</v>
      </c>
      <c r="C21" s="24"/>
      <c r="D21" s="24"/>
    </row>
    <row r="22" spans="1:4" ht="18.75">
      <c r="A22" s="27" t="s">
        <v>36</v>
      </c>
      <c r="B22" s="24" t="s">
        <v>4</v>
      </c>
      <c r="C22" s="24"/>
      <c r="D22" s="24"/>
    </row>
    <row r="23" spans="1:4" ht="18.75">
      <c r="A23" s="27" t="s">
        <v>37</v>
      </c>
      <c r="B23" s="24" t="s">
        <v>4</v>
      </c>
      <c r="C23" s="24"/>
      <c r="D23" s="24"/>
    </row>
    <row r="25" spans="1:4" ht="23.25">
      <c r="A25" s="2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875C-A6DC-4DC6-961F-C6CBF46ED328}">
  <dimension ref="A1:Y205"/>
  <sheetViews>
    <sheetView workbookViewId="0">
      <selection activeCell="P205" sqref="P205"/>
    </sheetView>
  </sheetViews>
  <sheetFormatPr defaultRowHeight="15.75"/>
  <cols>
    <col min="1" max="1" width="15" customWidth="1"/>
    <col min="2" max="2" width="18.5" customWidth="1"/>
    <col min="3" max="3" width="19" customWidth="1"/>
    <col min="4" max="4" width="29.875" customWidth="1"/>
    <col min="5" max="5" width="21.125" customWidth="1"/>
    <col min="6" max="6" width="17.75" style="1" customWidth="1"/>
    <col min="7" max="7" width="10.375" style="5" bestFit="1" customWidth="1"/>
    <col min="8" max="8" width="16.25" style="5" customWidth="1"/>
    <col min="9" max="9" width="17" style="5" customWidth="1"/>
    <col min="10" max="10" width="20.75" style="5" customWidth="1"/>
    <col min="11" max="11" width="18" style="7" customWidth="1"/>
    <col min="12" max="12" width="26.875" style="1" customWidth="1"/>
    <col min="13" max="13" width="21.375" customWidth="1"/>
    <col min="14" max="14" width="21.375" style="12" customWidth="1"/>
    <col min="15" max="15" width="27.75" customWidth="1"/>
    <col min="16" max="16" width="23.375" customWidth="1"/>
    <col min="17" max="17" width="18.75" customWidth="1"/>
    <col min="18" max="21" width="12" customWidth="1"/>
    <col min="24" max="24" width="10.5" bestFit="1" customWidth="1"/>
  </cols>
  <sheetData>
    <row r="1" spans="1:22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7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7" t="s">
        <v>50</v>
      </c>
      <c r="M1" s="7" t="s">
        <v>51</v>
      </c>
      <c r="N1" s="11" t="s">
        <v>52</v>
      </c>
      <c r="O1" s="10" t="s">
        <v>53</v>
      </c>
      <c r="P1" s="10" t="s">
        <v>54</v>
      </c>
      <c r="Q1" s="7"/>
    </row>
    <row r="2" spans="1:22" ht="16.5">
      <c r="A2" s="5" t="s">
        <v>55</v>
      </c>
      <c r="B2" s="5" t="s">
        <v>56</v>
      </c>
      <c r="C2" s="6" t="str">
        <f t="shared" ref="C2:C65" si="0">IF(G2="NJ","Tasty New Jersey",B2)</f>
        <v>Tasty New Jersey</v>
      </c>
      <c r="D2" s="5" t="s">
        <v>57</v>
      </c>
      <c r="E2" s="5">
        <f t="shared" ref="E2:E65" si="1">IF(LEFT(D2,5)="Tasty",1,0)</f>
        <v>1</v>
      </c>
      <c r="F2" s="7">
        <v>28334</v>
      </c>
      <c r="G2" s="5" t="s">
        <v>58</v>
      </c>
      <c r="H2" s="5" t="s">
        <v>59</v>
      </c>
      <c r="I2" s="5">
        <f t="shared" ref="I2:I65" ca="1" si="2">YEAR(TODAY())-YEAR(H2)</f>
        <v>25</v>
      </c>
      <c r="J2" s="5" t="s">
        <v>60</v>
      </c>
      <c r="K2" s="5" t="s">
        <v>61</v>
      </c>
      <c r="L2" s="7">
        <v>0</v>
      </c>
      <c r="M2" s="7">
        <f>SUM(F2,L2)</f>
        <v>28334</v>
      </c>
      <c r="N2" s="11">
        <f t="shared" ref="N2:N65" si="3">L2/M2</f>
        <v>0</v>
      </c>
      <c r="O2" s="10" t="str">
        <f>_xlfn.XLOOKUP(A2,'Reference Data'!A:A,'Reference Data'!B:B)</f>
        <v>Administrative Support</v>
      </c>
      <c r="P2" s="10" t="str">
        <f>_xlfn.XLOOKUP(A2,'Reference Data'!A:A,'Reference Data'!C:C)</f>
        <v>F</v>
      </c>
      <c r="Q2" s="7"/>
    </row>
    <row r="3" spans="1:22" ht="16.5">
      <c r="A3" s="5" t="s">
        <v>62</v>
      </c>
      <c r="B3" s="5" t="s">
        <v>56</v>
      </c>
      <c r="C3" s="6" t="str">
        <f t="shared" si="0"/>
        <v>Tasty New York</v>
      </c>
      <c r="D3" s="5" t="s">
        <v>63</v>
      </c>
      <c r="E3" s="5">
        <f t="shared" si="1"/>
        <v>0</v>
      </c>
      <c r="F3" s="7">
        <v>56555</v>
      </c>
      <c r="G3" s="5" t="s">
        <v>64</v>
      </c>
      <c r="H3" s="5" t="s">
        <v>65</v>
      </c>
      <c r="I3" s="5">
        <f t="shared" ca="1" si="2"/>
        <v>15</v>
      </c>
      <c r="J3" s="5" t="s">
        <v>66</v>
      </c>
      <c r="K3" s="5" t="s">
        <v>67</v>
      </c>
      <c r="L3" s="7">
        <v>0</v>
      </c>
      <c r="M3" s="7">
        <f>SUM(F3,L3)</f>
        <v>56555</v>
      </c>
      <c r="N3" s="11">
        <f t="shared" si="3"/>
        <v>0</v>
      </c>
      <c r="O3" s="10" t="str">
        <f>_xlfn.XLOOKUP(A3,'Reference Data'!A:A,'Reference Data'!B:B)</f>
        <v>Assistant</v>
      </c>
      <c r="P3" s="10" t="str">
        <f>_xlfn.XLOOKUP(A3,'Reference Data'!A:A,'Reference Data'!C:C)</f>
        <v>F</v>
      </c>
      <c r="Q3" s="7"/>
    </row>
    <row r="4" spans="1:22" ht="16.5">
      <c r="A4" s="5" t="s">
        <v>68</v>
      </c>
      <c r="B4" s="5" t="s">
        <v>56</v>
      </c>
      <c r="C4" s="6" t="str">
        <f t="shared" si="0"/>
        <v>Tasty New Jersey</v>
      </c>
      <c r="D4" s="5" t="s">
        <v>69</v>
      </c>
      <c r="E4" s="5">
        <f t="shared" si="1"/>
        <v>1</v>
      </c>
      <c r="F4" s="7">
        <v>26887</v>
      </c>
      <c r="G4" s="5" t="s">
        <v>58</v>
      </c>
      <c r="H4" s="5" t="s">
        <v>70</v>
      </c>
      <c r="I4" s="5">
        <f t="shared" ca="1" si="2"/>
        <v>24</v>
      </c>
      <c r="J4" s="5" t="s">
        <v>71</v>
      </c>
      <c r="K4" s="5" t="s">
        <v>72</v>
      </c>
      <c r="L4" s="7">
        <v>0</v>
      </c>
      <c r="M4" s="7">
        <f>SUM(F4+L4)</f>
        <v>26887</v>
      </c>
      <c r="N4" s="11">
        <f t="shared" si="3"/>
        <v>0</v>
      </c>
      <c r="O4" s="10" t="str">
        <f>_xlfn.XLOOKUP(A4,'Reference Data'!A:A,'Reference Data'!B:B)</f>
        <v>Administrative Support</v>
      </c>
      <c r="P4" s="10" t="str">
        <f>_xlfn.XLOOKUP(A4,'Reference Data'!A:A,'Reference Data'!C:C)</f>
        <v>M</v>
      </c>
      <c r="Q4" s="7"/>
    </row>
    <row r="5" spans="1:22" ht="16.5">
      <c r="A5" s="5" t="s">
        <v>73</v>
      </c>
      <c r="B5" s="5" t="s">
        <v>56</v>
      </c>
      <c r="C5" s="6" t="str">
        <f t="shared" si="0"/>
        <v>Tasty New Jersey</v>
      </c>
      <c r="D5" s="5" t="s">
        <v>69</v>
      </c>
      <c r="E5" s="5">
        <f t="shared" si="1"/>
        <v>1</v>
      </c>
      <c r="F5" s="7">
        <v>29678.42</v>
      </c>
      <c r="G5" s="5" t="s">
        <v>58</v>
      </c>
      <c r="H5" s="5" t="s">
        <v>74</v>
      </c>
      <c r="I5" s="5">
        <f t="shared" ca="1" si="2"/>
        <v>24</v>
      </c>
      <c r="J5" s="5" t="s">
        <v>71</v>
      </c>
      <c r="K5" s="5" t="s">
        <v>75</v>
      </c>
      <c r="L5" s="7">
        <v>0</v>
      </c>
      <c r="M5" s="7">
        <f>SUM(F5+L5)</f>
        <v>29678.42</v>
      </c>
      <c r="N5" s="11">
        <f t="shared" si="3"/>
        <v>0</v>
      </c>
      <c r="O5" s="10" t="str">
        <f>_xlfn.XLOOKUP(A5,'Reference Data'!A:A,'Reference Data'!B:B)</f>
        <v>Administrative Support</v>
      </c>
      <c r="P5" s="10" t="str">
        <f>_xlfn.XLOOKUP(A5,'Reference Data'!A:A,'Reference Data'!C:C)</f>
        <v>M</v>
      </c>
      <c r="Q5" s="7"/>
    </row>
    <row r="6" spans="1:22" ht="16.5">
      <c r="A6" s="5" t="s">
        <v>76</v>
      </c>
      <c r="B6" s="5" t="s">
        <v>56</v>
      </c>
      <c r="C6" s="6" t="str">
        <f t="shared" si="0"/>
        <v>Tasty New York</v>
      </c>
      <c r="D6" s="5" t="s">
        <v>63</v>
      </c>
      <c r="E6" s="5">
        <f t="shared" si="1"/>
        <v>0</v>
      </c>
      <c r="F6" s="7">
        <v>168449</v>
      </c>
      <c r="G6" s="5" t="s">
        <v>77</v>
      </c>
      <c r="H6" s="5" t="s">
        <v>78</v>
      </c>
      <c r="I6" s="5">
        <f t="shared" ca="1" si="2"/>
        <v>30</v>
      </c>
      <c r="J6" s="5" t="s">
        <v>66</v>
      </c>
      <c r="K6" s="5" t="s">
        <v>79</v>
      </c>
      <c r="L6" s="7">
        <v>0</v>
      </c>
      <c r="M6" s="7">
        <f>SUM(F6+L6)</f>
        <v>168449</v>
      </c>
      <c r="N6" s="11">
        <f t="shared" si="3"/>
        <v>0</v>
      </c>
      <c r="O6" s="10" t="str">
        <f>_xlfn.XLOOKUP(A6,'Reference Data'!A:A,'Reference Data'!B:B)</f>
        <v>Head of IT</v>
      </c>
      <c r="P6" s="10" t="str">
        <f>_xlfn.XLOOKUP(A6,'Reference Data'!A:A,'Reference Data'!C:C)</f>
        <v>M</v>
      </c>
      <c r="Q6" s="7"/>
    </row>
    <row r="7" spans="1:22" ht="16.5">
      <c r="A7" s="5" t="s">
        <v>80</v>
      </c>
      <c r="B7" s="5" t="s">
        <v>56</v>
      </c>
      <c r="C7" s="6" t="str">
        <f t="shared" si="0"/>
        <v>Tasty New York</v>
      </c>
      <c r="D7" s="5" t="s">
        <v>63</v>
      </c>
      <c r="E7" s="5">
        <f t="shared" si="1"/>
        <v>0</v>
      </c>
      <c r="F7" s="7">
        <v>38917</v>
      </c>
      <c r="G7" s="5" t="s">
        <v>64</v>
      </c>
      <c r="H7" s="5" t="s">
        <v>81</v>
      </c>
      <c r="I7" s="5">
        <f t="shared" ca="1" si="2"/>
        <v>21</v>
      </c>
      <c r="J7" s="5" t="s">
        <v>66</v>
      </c>
      <c r="K7" s="5" t="s">
        <v>82</v>
      </c>
      <c r="L7" s="7">
        <v>0</v>
      </c>
      <c r="M7" s="7">
        <f>SUM(F7+L7)</f>
        <v>38917</v>
      </c>
      <c r="N7" s="11">
        <f t="shared" si="3"/>
        <v>0</v>
      </c>
      <c r="O7" s="10" t="str">
        <f>_xlfn.XLOOKUP(A7,'Reference Data'!A:A,'Reference Data'!B:B)</f>
        <v>Assistant</v>
      </c>
      <c r="P7" s="10" t="str">
        <f>_xlfn.XLOOKUP(A7,'Reference Data'!A:A,'Reference Data'!C:C)</f>
        <v>Administrative Support</v>
      </c>
      <c r="Q7" s="7"/>
    </row>
    <row r="8" spans="1:22" ht="16.5">
      <c r="A8" s="5" t="s">
        <v>83</v>
      </c>
      <c r="B8" s="5" t="s">
        <v>56</v>
      </c>
      <c r="C8" s="6" t="str">
        <f t="shared" si="0"/>
        <v>Tasty New York</v>
      </c>
      <c r="D8" s="5" t="s">
        <v>63</v>
      </c>
      <c r="E8" s="5">
        <f t="shared" si="1"/>
        <v>0</v>
      </c>
      <c r="F8" s="7">
        <v>79585</v>
      </c>
      <c r="G8" s="5" t="s">
        <v>64</v>
      </c>
      <c r="H8" s="5" t="s">
        <v>84</v>
      </c>
      <c r="I8" s="5">
        <f t="shared" ca="1" si="2"/>
        <v>27</v>
      </c>
      <c r="J8" s="5" t="s">
        <v>66</v>
      </c>
      <c r="K8" s="5" t="s">
        <v>67</v>
      </c>
      <c r="L8" s="7">
        <v>0</v>
      </c>
      <c r="M8" s="7">
        <f>SUM(F8+L8)</f>
        <v>79585</v>
      </c>
      <c r="N8" s="11">
        <f t="shared" si="3"/>
        <v>0</v>
      </c>
      <c r="O8" s="10" t="str">
        <f>_xlfn.XLOOKUP(A8,'Reference Data'!A:A,'Reference Data'!B:B)</f>
        <v>IT Manager</v>
      </c>
      <c r="P8" s="10" t="str">
        <f>_xlfn.XLOOKUP(A8,'Reference Data'!A:A,'Reference Data'!C:C)</f>
        <v>M</v>
      </c>
      <c r="Q8" s="7"/>
    </row>
    <row r="9" spans="1:22" ht="16.5">
      <c r="A9" s="5" t="s">
        <v>85</v>
      </c>
      <c r="B9" s="5" t="s">
        <v>56</v>
      </c>
      <c r="C9" s="6" t="str">
        <f t="shared" si="0"/>
        <v>Tasty New Jersey</v>
      </c>
      <c r="D9" s="5" t="s">
        <v>57</v>
      </c>
      <c r="E9" s="5">
        <f t="shared" si="1"/>
        <v>1</v>
      </c>
      <c r="F9" s="7">
        <v>25990</v>
      </c>
      <c r="G9" s="5" t="s">
        <v>58</v>
      </c>
      <c r="H9" s="5" t="s">
        <v>86</v>
      </c>
      <c r="I9" s="5">
        <f t="shared" ca="1" si="2"/>
        <v>15</v>
      </c>
      <c r="J9" s="5" t="s">
        <v>87</v>
      </c>
      <c r="K9" s="5" t="s">
        <v>61</v>
      </c>
      <c r="L9" s="7">
        <v>0</v>
      </c>
      <c r="M9" s="7">
        <f>SUM(F9+L9)</f>
        <v>25990</v>
      </c>
      <c r="N9" s="11">
        <f t="shared" si="3"/>
        <v>0</v>
      </c>
      <c r="O9" s="10" t="str">
        <f>_xlfn.XLOOKUP(A9,'Reference Data'!A:A,'Reference Data'!B:B)</f>
        <v>Administrative Support</v>
      </c>
      <c r="P9" s="10" t="str">
        <f>_xlfn.XLOOKUP(A9,'Reference Data'!A:A,'Reference Data'!C:C)</f>
        <v>F</v>
      </c>
      <c r="Q9" s="7"/>
    </row>
    <row r="10" spans="1:22" ht="16.5">
      <c r="A10" s="5" t="s">
        <v>88</v>
      </c>
      <c r="B10" s="5" t="s">
        <v>56</v>
      </c>
      <c r="C10" s="6" t="str">
        <f t="shared" si="0"/>
        <v>Tasty New York</v>
      </c>
      <c r="D10" s="5" t="s">
        <v>89</v>
      </c>
      <c r="E10" s="5">
        <f t="shared" si="1"/>
        <v>0</v>
      </c>
      <c r="F10" s="7">
        <v>100507</v>
      </c>
      <c r="G10" s="5" t="s">
        <v>77</v>
      </c>
      <c r="H10" s="5" t="s">
        <v>90</v>
      </c>
      <c r="I10" s="5">
        <f t="shared" ca="1" si="2"/>
        <v>75</v>
      </c>
      <c r="J10" s="5" t="s">
        <v>91</v>
      </c>
      <c r="K10" s="5" t="s">
        <v>79</v>
      </c>
      <c r="L10" s="7">
        <v>2010</v>
      </c>
      <c r="M10" s="7">
        <f>SUM(F10+L10)</f>
        <v>102517</v>
      </c>
      <c r="N10" s="11">
        <f t="shared" si="3"/>
        <v>1.9606504287093849E-2</v>
      </c>
      <c r="O10" s="10" t="str">
        <f>_xlfn.XLOOKUP(A10,'Reference Data'!A:A,'Reference Data'!B:B)</f>
        <v>Plant Supervisor</v>
      </c>
      <c r="P10" s="10" t="str">
        <f>_xlfn.XLOOKUP(A10,'Reference Data'!A:A,'Reference Data'!C:C)</f>
        <v>M</v>
      </c>
      <c r="Q10" s="7"/>
    </row>
    <row r="11" spans="1:22" ht="16.5">
      <c r="A11" s="5" t="s">
        <v>92</v>
      </c>
      <c r="B11" s="5" t="s">
        <v>56</v>
      </c>
      <c r="C11" s="6" t="str">
        <f t="shared" si="0"/>
        <v>Tasty New York</v>
      </c>
      <c r="D11" s="5" t="s">
        <v>89</v>
      </c>
      <c r="E11" s="5">
        <f t="shared" si="1"/>
        <v>0</v>
      </c>
      <c r="F11" s="7">
        <v>193565</v>
      </c>
      <c r="G11" s="5" t="s">
        <v>64</v>
      </c>
      <c r="H11" s="5" t="s">
        <v>93</v>
      </c>
      <c r="I11" s="5">
        <f t="shared" ca="1" si="2"/>
        <v>59</v>
      </c>
      <c r="J11" s="5" t="s">
        <v>91</v>
      </c>
      <c r="K11" s="5" t="s">
        <v>82</v>
      </c>
      <c r="L11" s="7">
        <v>29035</v>
      </c>
      <c r="M11" s="7">
        <f>SUM(F11+L11)</f>
        <v>222600</v>
      </c>
      <c r="N11" s="11">
        <f t="shared" si="3"/>
        <v>0.13043575920934411</v>
      </c>
      <c r="O11" s="10" t="str">
        <f>_xlfn.XLOOKUP(A11,'Reference Data'!A:A,'Reference Data'!B:B)</f>
        <v>Plant Leader</v>
      </c>
      <c r="P11" s="10" t="str">
        <f>_xlfn.XLOOKUP(A11,'Reference Data'!A:A,'Reference Data'!C:C)</f>
        <v>M</v>
      </c>
      <c r="Q11" s="7"/>
      <c r="R11" s="3"/>
      <c r="S11" s="3"/>
      <c r="T11" s="3"/>
      <c r="U11" s="3"/>
      <c r="V11" s="3"/>
    </row>
    <row r="12" spans="1:22" ht="16.5">
      <c r="A12" s="5" t="s">
        <v>94</v>
      </c>
      <c r="B12" s="5" t="s">
        <v>56</v>
      </c>
      <c r="C12" s="6" t="str">
        <f t="shared" si="0"/>
        <v>Tasty New York</v>
      </c>
      <c r="D12" s="5" t="s">
        <v>57</v>
      </c>
      <c r="E12" s="5">
        <f t="shared" si="1"/>
        <v>1</v>
      </c>
      <c r="F12" s="7">
        <v>186310</v>
      </c>
      <c r="G12" s="5" t="s">
        <v>64</v>
      </c>
      <c r="H12" s="5" t="s">
        <v>95</v>
      </c>
      <c r="I12" s="5">
        <f t="shared" ca="1" si="2"/>
        <v>67</v>
      </c>
      <c r="J12" s="5" t="s">
        <v>96</v>
      </c>
      <c r="K12" s="5" t="s">
        <v>67</v>
      </c>
      <c r="L12" s="7">
        <v>0</v>
      </c>
      <c r="M12" s="7">
        <f>SUM(F12+L12)</f>
        <v>186310</v>
      </c>
      <c r="N12" s="11">
        <f t="shared" si="3"/>
        <v>0</v>
      </c>
      <c r="O12" s="10" t="str">
        <f>_xlfn.XLOOKUP(A12,'Reference Data'!A:A,'Reference Data'!B:B)</f>
        <v>Director</v>
      </c>
      <c r="P12" s="10" t="str">
        <f>_xlfn.XLOOKUP(A12,'Reference Data'!A:A,'Reference Data'!C:C)</f>
        <v>M</v>
      </c>
      <c r="Q12" s="7"/>
      <c r="R12" s="3"/>
      <c r="S12" s="3"/>
      <c r="T12" s="3"/>
      <c r="U12" s="3"/>
      <c r="V12" s="3"/>
    </row>
    <row r="13" spans="1:22" ht="16.5">
      <c r="A13" s="5" t="s">
        <v>97</v>
      </c>
      <c r="B13" s="5" t="s">
        <v>56</v>
      </c>
      <c r="C13" s="6" t="str">
        <f t="shared" si="0"/>
        <v>Tasty New York</v>
      </c>
      <c r="D13" s="5" t="s">
        <v>89</v>
      </c>
      <c r="E13" s="5">
        <f t="shared" si="1"/>
        <v>0</v>
      </c>
      <c r="F13" s="7">
        <v>108307</v>
      </c>
      <c r="G13" s="5" t="s">
        <v>64</v>
      </c>
      <c r="H13" s="5" t="s">
        <v>98</v>
      </c>
      <c r="I13" s="5">
        <f t="shared" ca="1" si="2"/>
        <v>64</v>
      </c>
      <c r="J13" s="5" t="s">
        <v>91</v>
      </c>
      <c r="K13" s="5" t="s">
        <v>67</v>
      </c>
      <c r="L13" s="7">
        <v>0</v>
      </c>
      <c r="M13" s="7">
        <f>SUM(F13+L13)</f>
        <v>108307</v>
      </c>
      <c r="N13" s="11">
        <f t="shared" si="3"/>
        <v>0</v>
      </c>
      <c r="O13" s="10" t="str">
        <f>_xlfn.XLOOKUP(A13,'Reference Data'!A:A,'Reference Data'!B:B)</f>
        <v>Plant Supervisor</v>
      </c>
      <c r="P13" s="10" t="str">
        <f>_xlfn.XLOOKUP(A13,'Reference Data'!A:A,'Reference Data'!C:C)</f>
        <v>M</v>
      </c>
      <c r="Q13" s="7"/>
    </row>
    <row r="14" spans="1:22" ht="16.5">
      <c r="A14" s="5" t="s">
        <v>94</v>
      </c>
      <c r="B14" s="5" t="s">
        <v>56</v>
      </c>
      <c r="C14" s="6" t="str">
        <f t="shared" si="0"/>
        <v>Tasty New York</v>
      </c>
      <c r="D14" s="5" t="s">
        <v>57</v>
      </c>
      <c r="E14" s="5">
        <f t="shared" si="1"/>
        <v>1</v>
      </c>
      <c r="F14" s="7">
        <v>186310</v>
      </c>
      <c r="G14" s="5" t="s">
        <v>64</v>
      </c>
      <c r="H14" s="5" t="s">
        <v>95</v>
      </c>
      <c r="I14" s="5">
        <f t="shared" ca="1" si="2"/>
        <v>67</v>
      </c>
      <c r="J14" s="5" t="s">
        <v>96</v>
      </c>
      <c r="K14" s="5" t="s">
        <v>67</v>
      </c>
      <c r="L14" s="7">
        <v>0</v>
      </c>
      <c r="M14" s="7">
        <f>SUM(F14+L14)</f>
        <v>186310</v>
      </c>
      <c r="N14" s="11">
        <f t="shared" si="3"/>
        <v>0</v>
      </c>
      <c r="O14" s="10" t="str">
        <f>_xlfn.XLOOKUP(A14,'Reference Data'!A:A,'Reference Data'!B:B)</f>
        <v>Director</v>
      </c>
      <c r="P14" s="10" t="str">
        <f>_xlfn.XLOOKUP(A14,'Reference Data'!A:A,'Reference Data'!C:C)</f>
        <v>M</v>
      </c>
      <c r="Q14" s="7"/>
    </row>
    <row r="15" spans="1:22" ht="16.5">
      <c r="A15" s="5" t="s">
        <v>94</v>
      </c>
      <c r="B15" s="5" t="s">
        <v>56</v>
      </c>
      <c r="C15" s="6" t="str">
        <f t="shared" si="0"/>
        <v>Tasty New York</v>
      </c>
      <c r="D15" s="5" t="s">
        <v>57</v>
      </c>
      <c r="E15" s="5">
        <f t="shared" si="1"/>
        <v>1</v>
      </c>
      <c r="F15" s="7">
        <v>186310</v>
      </c>
      <c r="G15" s="5" t="s">
        <v>64</v>
      </c>
      <c r="H15" s="5" t="s">
        <v>95</v>
      </c>
      <c r="I15" s="5">
        <f t="shared" ca="1" si="2"/>
        <v>67</v>
      </c>
      <c r="J15" s="5" t="s">
        <v>96</v>
      </c>
      <c r="K15" s="5" t="s">
        <v>67</v>
      </c>
      <c r="L15" s="7">
        <v>0</v>
      </c>
      <c r="M15" s="7">
        <f>SUM(F15+L15)</f>
        <v>186310</v>
      </c>
      <c r="N15" s="11">
        <f t="shared" si="3"/>
        <v>0</v>
      </c>
      <c r="O15" s="10" t="str">
        <f>_xlfn.XLOOKUP(A15,'Reference Data'!A:A,'Reference Data'!B:B)</f>
        <v>Director</v>
      </c>
      <c r="P15" s="10" t="str">
        <f>_xlfn.XLOOKUP(A15,'Reference Data'!A:A,'Reference Data'!C:C)</f>
        <v>M</v>
      </c>
      <c r="Q15" s="7"/>
    </row>
    <row r="16" spans="1:22" ht="16.5">
      <c r="A16" s="5" t="s">
        <v>99</v>
      </c>
      <c r="B16" s="5" t="s">
        <v>56</v>
      </c>
      <c r="C16" s="6" t="str">
        <f t="shared" si="0"/>
        <v>Tasty New York</v>
      </c>
      <c r="D16" s="5" t="s">
        <v>89</v>
      </c>
      <c r="E16" s="5">
        <f t="shared" si="1"/>
        <v>0</v>
      </c>
      <c r="F16" s="7">
        <v>111118</v>
      </c>
      <c r="G16" s="5" t="s">
        <v>64</v>
      </c>
      <c r="H16" s="5" t="s">
        <v>100</v>
      </c>
      <c r="I16" s="5">
        <f t="shared" ca="1" si="2"/>
        <v>72</v>
      </c>
      <c r="J16" s="5" t="s">
        <v>91</v>
      </c>
      <c r="K16" s="5" t="s">
        <v>67</v>
      </c>
      <c r="L16" s="7">
        <v>16668</v>
      </c>
      <c r="M16" s="7">
        <f>SUM(F16+L16)</f>
        <v>127786</v>
      </c>
      <c r="N16" s="11">
        <f t="shared" si="3"/>
        <v>0.13043682406523407</v>
      </c>
      <c r="O16" s="10" t="str">
        <f>_xlfn.XLOOKUP(A16,'Reference Data'!A:A,'Reference Data'!B:B)</f>
        <v>Plant Manager</v>
      </c>
      <c r="P16" s="10" t="str">
        <f>_xlfn.XLOOKUP(A16,'Reference Data'!A:A,'Reference Data'!C:C)</f>
        <v>M</v>
      </c>
      <c r="Q16" s="7"/>
    </row>
    <row r="17" spans="1:22" ht="16.5">
      <c r="A17" s="5" t="s">
        <v>101</v>
      </c>
      <c r="B17" s="5" t="s">
        <v>56</v>
      </c>
      <c r="C17" s="6" t="str">
        <f t="shared" si="0"/>
        <v>Tasty New York</v>
      </c>
      <c r="D17" s="5" t="s">
        <v>102</v>
      </c>
      <c r="E17" s="5">
        <f t="shared" si="1"/>
        <v>1</v>
      </c>
      <c r="F17" s="7">
        <v>72242</v>
      </c>
      <c r="G17" s="5" t="s">
        <v>64</v>
      </c>
      <c r="H17" s="5" t="s">
        <v>103</v>
      </c>
      <c r="I17" s="5">
        <f t="shared" ca="1" si="2"/>
        <v>68</v>
      </c>
      <c r="J17" s="5" t="s">
        <v>96</v>
      </c>
      <c r="K17" s="5" t="s">
        <v>67</v>
      </c>
      <c r="L17" s="7">
        <v>14448</v>
      </c>
      <c r="M17" s="7">
        <f>SUM(F17+L17)</f>
        <v>86690</v>
      </c>
      <c r="N17" s="11">
        <f t="shared" si="3"/>
        <v>0.16666282154804477</v>
      </c>
      <c r="O17" s="10" t="str">
        <f>_xlfn.XLOOKUP(A17,'Reference Data'!A:A,'Reference Data'!B:B)</f>
        <v>Plant Supervisor</v>
      </c>
      <c r="P17" s="10" t="str">
        <f>_xlfn.XLOOKUP(A17,'Reference Data'!A:A,'Reference Data'!C:C)</f>
        <v>F</v>
      </c>
      <c r="Q17" s="7"/>
      <c r="R17" s="3"/>
      <c r="S17" s="3"/>
      <c r="T17" s="3"/>
      <c r="U17" s="3"/>
      <c r="V17" s="3"/>
    </row>
    <row r="18" spans="1:22" ht="16.5">
      <c r="A18" s="5" t="s">
        <v>104</v>
      </c>
      <c r="B18" s="5" t="s">
        <v>56</v>
      </c>
      <c r="C18" s="6" t="str">
        <f t="shared" si="0"/>
        <v>Tasty New York</v>
      </c>
      <c r="D18" s="5" t="s">
        <v>89</v>
      </c>
      <c r="E18" s="5">
        <f t="shared" si="1"/>
        <v>0</v>
      </c>
      <c r="F18" s="7">
        <v>39207.300000000003</v>
      </c>
      <c r="G18" s="5" t="s">
        <v>77</v>
      </c>
      <c r="H18" s="5" t="s">
        <v>105</v>
      </c>
      <c r="I18" s="5">
        <f t="shared" ca="1" si="2"/>
        <v>53</v>
      </c>
      <c r="J18" s="5" t="s">
        <v>91</v>
      </c>
      <c r="K18" s="5" t="s">
        <v>79</v>
      </c>
      <c r="L18" s="7">
        <v>1960</v>
      </c>
      <c r="M18" s="7">
        <f>SUM(F18+L18)</f>
        <v>41167.300000000003</v>
      </c>
      <c r="N18" s="11">
        <f t="shared" si="3"/>
        <v>4.7610603561564636E-2</v>
      </c>
      <c r="O18" s="10" t="str">
        <f>_xlfn.XLOOKUP(A18,'Reference Data'!A:A,'Reference Data'!B:B)</f>
        <v>Plant Worker</v>
      </c>
      <c r="P18" s="10" t="str">
        <f>_xlfn.XLOOKUP(A18,'Reference Data'!A:A,'Reference Data'!C:C)</f>
        <v>M</v>
      </c>
      <c r="Q18" s="7"/>
      <c r="R18" s="3"/>
      <c r="S18" s="3"/>
      <c r="T18" s="3"/>
      <c r="U18" s="3"/>
      <c r="V18" s="3"/>
    </row>
    <row r="19" spans="1:22" ht="16.5">
      <c r="A19" s="5" t="s">
        <v>106</v>
      </c>
      <c r="B19" s="5" t="s">
        <v>56</v>
      </c>
      <c r="C19" s="6" t="str">
        <f t="shared" si="0"/>
        <v>Tasty New York</v>
      </c>
      <c r="D19" s="5" t="s">
        <v>89</v>
      </c>
      <c r="E19" s="5">
        <f t="shared" si="1"/>
        <v>0</v>
      </c>
      <c r="F19" s="7">
        <v>168154</v>
      </c>
      <c r="G19" s="5" t="s">
        <v>64</v>
      </c>
      <c r="H19" s="5" t="s">
        <v>107</v>
      </c>
      <c r="I19" s="5">
        <f t="shared" ca="1" si="2"/>
        <v>52</v>
      </c>
      <c r="J19" s="5" t="s">
        <v>91</v>
      </c>
      <c r="K19" s="5" t="s">
        <v>82</v>
      </c>
      <c r="L19" s="7">
        <v>30268</v>
      </c>
      <c r="M19" s="7">
        <f>SUM(F19+L19)</f>
        <v>198422</v>
      </c>
      <c r="N19" s="11">
        <f t="shared" si="3"/>
        <v>0.15254356875749664</v>
      </c>
      <c r="O19" s="10" t="str">
        <f>_xlfn.XLOOKUP(A19,'Reference Data'!A:A,'Reference Data'!B:B)</f>
        <v>Plant Manager</v>
      </c>
      <c r="P19" s="10" t="str">
        <f>_xlfn.XLOOKUP(A19,'Reference Data'!A:A,'Reference Data'!C:C)</f>
        <v>M</v>
      </c>
      <c r="Q19" s="7"/>
      <c r="R19" s="3"/>
      <c r="S19" s="3"/>
      <c r="T19" s="3"/>
      <c r="U19" s="3"/>
      <c r="V19" s="3"/>
    </row>
    <row r="20" spans="1:22" ht="16.5">
      <c r="A20" s="5" t="s">
        <v>108</v>
      </c>
      <c r="B20" s="5" t="s">
        <v>56</v>
      </c>
      <c r="C20" s="6" t="str">
        <f t="shared" si="0"/>
        <v>Tasty New Jersey</v>
      </c>
      <c r="D20" s="5" t="s">
        <v>69</v>
      </c>
      <c r="E20" s="5">
        <f t="shared" si="1"/>
        <v>1</v>
      </c>
      <c r="F20" s="7">
        <v>23874.15</v>
      </c>
      <c r="G20" s="5" t="s">
        <v>58</v>
      </c>
      <c r="H20" s="5" t="s">
        <v>109</v>
      </c>
      <c r="I20" s="5">
        <f t="shared" ca="1" si="2"/>
        <v>21</v>
      </c>
      <c r="J20" s="5" t="s">
        <v>71</v>
      </c>
      <c r="K20" s="5" t="s">
        <v>75</v>
      </c>
      <c r="L20" s="7">
        <v>0</v>
      </c>
      <c r="M20" s="7">
        <f>SUM(F20+L20)</f>
        <v>23874.15</v>
      </c>
      <c r="N20" s="11">
        <f t="shared" si="3"/>
        <v>0</v>
      </c>
      <c r="O20" s="10" t="str">
        <f>_xlfn.XLOOKUP(A20,'Reference Data'!A:A,'Reference Data'!B:B)</f>
        <v>Administrative Support</v>
      </c>
      <c r="P20" s="10" t="str">
        <f>_xlfn.XLOOKUP(A20,'Reference Data'!A:A,'Reference Data'!C:C)</f>
        <v>F</v>
      </c>
      <c r="Q20" s="7"/>
      <c r="R20" s="3"/>
      <c r="S20" s="3"/>
      <c r="T20" s="3"/>
      <c r="U20" s="3"/>
      <c r="V20" s="3"/>
    </row>
    <row r="21" spans="1:22" ht="16.5">
      <c r="A21" s="5" t="s">
        <v>110</v>
      </c>
      <c r="B21" s="5" t="s">
        <v>56</v>
      </c>
      <c r="C21" s="6" t="str">
        <f t="shared" si="0"/>
        <v>Tasty New York</v>
      </c>
      <c r="D21" s="5" t="s">
        <v>89</v>
      </c>
      <c r="E21" s="5">
        <f t="shared" si="1"/>
        <v>0</v>
      </c>
      <c r="F21" s="7">
        <v>299552</v>
      </c>
      <c r="G21" s="5" t="s">
        <v>64</v>
      </c>
      <c r="H21" s="5" t="s">
        <v>111</v>
      </c>
      <c r="I21" s="5">
        <f t="shared" ca="1" si="2"/>
        <v>48</v>
      </c>
      <c r="J21" s="5" t="s">
        <v>91</v>
      </c>
      <c r="K21" s="5" t="s">
        <v>82</v>
      </c>
      <c r="L21" s="7">
        <v>0</v>
      </c>
      <c r="M21" s="7">
        <f>SUM(F21+L21)</f>
        <v>299552</v>
      </c>
      <c r="N21" s="11">
        <f t="shared" si="3"/>
        <v>0</v>
      </c>
      <c r="O21" s="10" t="str">
        <f>_xlfn.XLOOKUP(A21,'Reference Data'!A:A,'Reference Data'!B:B)</f>
        <v>Director</v>
      </c>
      <c r="P21" s="10" t="str">
        <f>_xlfn.XLOOKUP(A21,'Reference Data'!A:A,'Reference Data'!C:C)</f>
        <v>M</v>
      </c>
      <c r="Q21" s="7"/>
    </row>
    <row r="22" spans="1:22" ht="16.5">
      <c r="A22" s="5" t="s">
        <v>112</v>
      </c>
      <c r="B22" s="5" t="s">
        <v>56</v>
      </c>
      <c r="C22" s="6" t="str">
        <f t="shared" si="0"/>
        <v>Tasty New York</v>
      </c>
      <c r="D22" s="5" t="s">
        <v>89</v>
      </c>
      <c r="E22" s="5">
        <f t="shared" si="1"/>
        <v>0</v>
      </c>
      <c r="F22" s="7">
        <v>83266</v>
      </c>
      <c r="G22" s="5" t="s">
        <v>113</v>
      </c>
      <c r="H22" s="5" t="s">
        <v>114</v>
      </c>
      <c r="I22" s="5">
        <f t="shared" ca="1" si="2"/>
        <v>47</v>
      </c>
      <c r="J22" s="5" t="s">
        <v>91</v>
      </c>
      <c r="K22" s="5" t="s">
        <v>115</v>
      </c>
      <c r="L22" s="7">
        <v>12490</v>
      </c>
      <c r="M22" s="7">
        <f>SUM(F22+L22)</f>
        <v>95756</v>
      </c>
      <c r="N22" s="11">
        <f t="shared" si="3"/>
        <v>0.13043569071389782</v>
      </c>
      <c r="O22" s="10" t="str">
        <f>_xlfn.XLOOKUP(A22,'Reference Data'!A:A,'Reference Data'!B:B)</f>
        <v>Plant Worker</v>
      </c>
      <c r="P22" s="10" t="str">
        <f>_xlfn.XLOOKUP(A22,'Reference Data'!A:A,'Reference Data'!C:C)</f>
        <v>F</v>
      </c>
      <c r="Q22" s="7"/>
    </row>
    <row r="23" spans="1:22" ht="16.5">
      <c r="A23" s="5" t="s">
        <v>116</v>
      </c>
      <c r="B23" s="5" t="s">
        <v>56</v>
      </c>
      <c r="C23" s="6" t="str">
        <f t="shared" si="0"/>
        <v>Tasty New Jersey</v>
      </c>
      <c r="D23" s="5" t="s">
        <v>89</v>
      </c>
      <c r="E23" s="5">
        <f t="shared" si="1"/>
        <v>0</v>
      </c>
      <c r="F23" s="7">
        <v>35414</v>
      </c>
      <c r="G23" s="5" t="s">
        <v>58</v>
      </c>
      <c r="H23" s="5" t="s">
        <v>117</v>
      </c>
      <c r="I23" s="5">
        <f t="shared" ca="1" si="2"/>
        <v>42</v>
      </c>
      <c r="J23" s="5" t="s">
        <v>91</v>
      </c>
      <c r="K23" s="5" t="s">
        <v>118</v>
      </c>
      <c r="L23" s="7">
        <v>0</v>
      </c>
      <c r="M23" s="7">
        <f>SUM(F23+L23)</f>
        <v>35414</v>
      </c>
      <c r="N23" s="11">
        <f t="shared" si="3"/>
        <v>0</v>
      </c>
      <c r="O23" s="10" t="str">
        <f>_xlfn.XLOOKUP(A23,'Reference Data'!A:A,'Reference Data'!B:B)</f>
        <v>Administrative Support</v>
      </c>
      <c r="P23" s="10" t="str">
        <f>_xlfn.XLOOKUP(A23,'Reference Data'!A:A,'Reference Data'!C:C)</f>
        <v>F</v>
      </c>
      <c r="Q23" s="7"/>
      <c r="R23" s="3"/>
      <c r="S23" s="3"/>
      <c r="T23" s="3"/>
      <c r="U23" s="3"/>
      <c r="V23" s="3"/>
    </row>
    <row r="24" spans="1:22" ht="16.5">
      <c r="A24" s="5" t="s">
        <v>119</v>
      </c>
      <c r="B24" s="5" t="s">
        <v>56</v>
      </c>
      <c r="C24" s="6" t="str">
        <f t="shared" si="0"/>
        <v>Tasty New York</v>
      </c>
      <c r="D24" s="5" t="s">
        <v>57</v>
      </c>
      <c r="E24" s="5">
        <f t="shared" si="1"/>
        <v>1</v>
      </c>
      <c r="F24" s="7">
        <v>134816</v>
      </c>
      <c r="G24" s="5" t="s">
        <v>64</v>
      </c>
      <c r="H24" s="5" t="s">
        <v>120</v>
      </c>
      <c r="I24" s="5">
        <f t="shared" ca="1" si="2"/>
        <v>45</v>
      </c>
      <c r="J24" s="5" t="s">
        <v>87</v>
      </c>
      <c r="K24" s="5" t="s">
        <v>121</v>
      </c>
      <c r="L24" s="7">
        <v>18874</v>
      </c>
      <c r="M24" s="7">
        <f>SUM(F24+L24)</f>
        <v>153690</v>
      </c>
      <c r="N24" s="11">
        <f t="shared" si="3"/>
        <v>0.12280564773244844</v>
      </c>
      <c r="O24" s="10" t="str">
        <f>_xlfn.XLOOKUP(A24,'Reference Data'!A:A,'Reference Data'!B:B)</f>
        <v>Plant Manager</v>
      </c>
      <c r="P24" s="10" t="str">
        <f>_xlfn.XLOOKUP(A24,'Reference Data'!A:A,'Reference Data'!C:C)</f>
        <v>M</v>
      </c>
      <c r="Q24" s="7"/>
    </row>
    <row r="25" spans="1:22" ht="16.5">
      <c r="A25" s="5" t="s">
        <v>122</v>
      </c>
      <c r="B25" s="5" t="s">
        <v>56</v>
      </c>
      <c r="C25" s="6" t="str">
        <f t="shared" si="0"/>
        <v>Tasty New Jersey</v>
      </c>
      <c r="D25" s="5" t="s">
        <v>69</v>
      </c>
      <c r="E25" s="5">
        <f t="shared" si="1"/>
        <v>1</v>
      </c>
      <c r="F25" s="7">
        <v>26745</v>
      </c>
      <c r="G25" s="5" t="s">
        <v>58</v>
      </c>
      <c r="H25" s="5" t="s">
        <v>123</v>
      </c>
      <c r="I25" s="5">
        <f t="shared" ca="1" si="2"/>
        <v>20</v>
      </c>
      <c r="J25" s="5" t="s">
        <v>71</v>
      </c>
      <c r="K25" s="5" t="s">
        <v>75</v>
      </c>
      <c r="L25" s="7">
        <v>0</v>
      </c>
      <c r="M25" s="7">
        <f>SUM(F25+L25)</f>
        <v>26745</v>
      </c>
      <c r="N25" s="11">
        <f t="shared" si="3"/>
        <v>0</v>
      </c>
      <c r="O25" s="10" t="str">
        <f>_xlfn.XLOOKUP(A25,'Reference Data'!A:A,'Reference Data'!B:B)</f>
        <v>Administrative Support</v>
      </c>
      <c r="P25" s="10" t="str">
        <f>_xlfn.XLOOKUP(A25,'Reference Data'!A:A,'Reference Data'!C:C)</f>
        <v>M</v>
      </c>
      <c r="Q25" s="7"/>
      <c r="R25" s="3"/>
      <c r="S25" s="3"/>
      <c r="T25" s="3"/>
      <c r="U25" s="3"/>
      <c r="V25" s="3"/>
    </row>
    <row r="26" spans="1:22" ht="16.5">
      <c r="A26" s="5" t="s">
        <v>124</v>
      </c>
      <c r="B26" s="5" t="s">
        <v>56</v>
      </c>
      <c r="C26" s="6" t="str">
        <f t="shared" si="0"/>
        <v>Tasty New Jersey</v>
      </c>
      <c r="D26" s="5" t="s">
        <v>63</v>
      </c>
      <c r="E26" s="5">
        <f t="shared" si="1"/>
        <v>0</v>
      </c>
      <c r="F26" s="7">
        <v>38458</v>
      </c>
      <c r="G26" s="5" t="s">
        <v>58</v>
      </c>
      <c r="H26" s="5" t="s">
        <v>59</v>
      </c>
      <c r="I26" s="5">
        <f t="shared" ca="1" si="2"/>
        <v>25</v>
      </c>
      <c r="J26" s="5" t="s">
        <v>66</v>
      </c>
      <c r="K26" s="5" t="s">
        <v>61</v>
      </c>
      <c r="L26" s="7">
        <v>0</v>
      </c>
      <c r="M26" s="7">
        <f>SUM(F26+L26)</f>
        <v>38458</v>
      </c>
      <c r="N26" s="11">
        <f t="shared" si="3"/>
        <v>0</v>
      </c>
      <c r="O26" s="10" t="str">
        <f>_xlfn.XLOOKUP(A26,'Reference Data'!A:A,'Reference Data'!B:B)</f>
        <v>Assistant</v>
      </c>
      <c r="P26" s="10" t="str">
        <f>_xlfn.XLOOKUP(A26,'Reference Data'!A:A,'Reference Data'!C:C)</f>
        <v>F</v>
      </c>
      <c r="Q26" s="7"/>
    </row>
    <row r="27" spans="1:22" ht="16.5">
      <c r="A27" s="5" t="s">
        <v>125</v>
      </c>
      <c r="B27" s="5" t="s">
        <v>56</v>
      </c>
      <c r="C27" s="6" t="str">
        <f t="shared" si="0"/>
        <v>Tasty New York</v>
      </c>
      <c r="D27" s="5" t="s">
        <v>69</v>
      </c>
      <c r="E27" s="5">
        <f t="shared" si="1"/>
        <v>1</v>
      </c>
      <c r="F27" s="7">
        <v>138721</v>
      </c>
      <c r="G27" s="5" t="s">
        <v>64</v>
      </c>
      <c r="H27" s="5" t="s">
        <v>126</v>
      </c>
      <c r="I27" s="5">
        <f t="shared" ca="1" si="2"/>
        <v>38</v>
      </c>
      <c r="J27" s="5" t="s">
        <v>127</v>
      </c>
      <c r="K27" s="5" t="s">
        <v>67</v>
      </c>
      <c r="L27" s="7">
        <v>0</v>
      </c>
      <c r="M27" s="7">
        <f>SUM(F27+L27)</f>
        <v>138721</v>
      </c>
      <c r="N27" s="11">
        <f t="shared" si="3"/>
        <v>0</v>
      </c>
      <c r="O27" s="10" t="str">
        <f>_xlfn.XLOOKUP(A27,'Reference Data'!A:A,'Reference Data'!B:B)</f>
        <v>Director</v>
      </c>
      <c r="P27" s="10" t="str">
        <f>_xlfn.XLOOKUP(A27,'Reference Data'!A:A,'Reference Data'!C:C)</f>
        <v>M</v>
      </c>
      <c r="Q27" s="7"/>
    </row>
    <row r="28" spans="1:22" ht="16.5">
      <c r="A28" s="5" t="s">
        <v>128</v>
      </c>
      <c r="B28" s="5" t="s">
        <v>56</v>
      </c>
      <c r="C28" s="6" t="str">
        <f t="shared" si="0"/>
        <v>Tasty New York</v>
      </c>
      <c r="D28" s="5" t="s">
        <v>129</v>
      </c>
      <c r="E28" s="5">
        <f t="shared" si="1"/>
        <v>1</v>
      </c>
      <c r="F28" s="7">
        <v>123906</v>
      </c>
      <c r="G28" s="5" t="s">
        <v>64</v>
      </c>
      <c r="H28" s="5" t="s">
        <v>130</v>
      </c>
      <c r="I28" s="5">
        <f t="shared" ca="1" si="2"/>
        <v>41</v>
      </c>
      <c r="J28" s="5" t="s">
        <v>131</v>
      </c>
      <c r="K28" s="5" t="s">
        <v>132</v>
      </c>
      <c r="L28" s="7">
        <v>18586</v>
      </c>
      <c r="M28" s="7">
        <f>SUM(F28+L28)</f>
        <v>142492</v>
      </c>
      <c r="N28" s="11">
        <f t="shared" si="3"/>
        <v>0.13043539286416078</v>
      </c>
      <c r="O28" s="10" t="str">
        <f>_xlfn.XLOOKUP(A28,'Reference Data'!A:A,'Reference Data'!B:B)</f>
        <v>Plant Manager</v>
      </c>
      <c r="P28" s="10" t="str">
        <f>_xlfn.XLOOKUP(A28,'Reference Data'!A:A,'Reference Data'!C:C)</f>
        <v>M</v>
      </c>
      <c r="Q28" s="7"/>
    </row>
    <row r="29" spans="1:22" ht="16.5">
      <c r="A29" s="5" t="s">
        <v>133</v>
      </c>
      <c r="B29" s="5" t="s">
        <v>56</v>
      </c>
      <c r="C29" s="6" t="str">
        <f t="shared" si="0"/>
        <v>Tasty New York</v>
      </c>
      <c r="D29" s="5" t="s">
        <v>89</v>
      </c>
      <c r="E29" s="5">
        <f t="shared" si="1"/>
        <v>0</v>
      </c>
      <c r="F29" s="7">
        <v>69237</v>
      </c>
      <c r="G29" s="5" t="s">
        <v>77</v>
      </c>
      <c r="H29" s="5" t="s">
        <v>134</v>
      </c>
      <c r="I29" s="5">
        <f t="shared" ca="1" si="2"/>
        <v>47</v>
      </c>
      <c r="J29" s="5" t="s">
        <v>91</v>
      </c>
      <c r="K29" s="5" t="s">
        <v>135</v>
      </c>
      <c r="L29" s="7">
        <v>10386</v>
      </c>
      <c r="M29" s="7">
        <f>SUM(F29+L29)</f>
        <v>79623</v>
      </c>
      <c r="N29" s="11">
        <f t="shared" si="3"/>
        <v>0.13043969707245395</v>
      </c>
      <c r="O29" s="10" t="str">
        <f>_xlfn.XLOOKUP(A29,'Reference Data'!A:A,'Reference Data'!B:B)</f>
        <v>Plant Worker</v>
      </c>
      <c r="P29" s="10" t="str">
        <f>_xlfn.XLOOKUP(A29,'Reference Data'!A:A,'Reference Data'!C:C)</f>
        <v>M</v>
      </c>
      <c r="Q29" s="7"/>
      <c r="R29" s="3"/>
      <c r="S29" s="3"/>
      <c r="T29" s="3"/>
      <c r="U29" s="3"/>
      <c r="V29" s="3"/>
    </row>
    <row r="30" spans="1:22" ht="16.5">
      <c r="A30" s="5" t="s">
        <v>136</v>
      </c>
      <c r="B30" s="5" t="s">
        <v>56</v>
      </c>
      <c r="C30" s="6" t="str">
        <f t="shared" si="0"/>
        <v>Tasty New York</v>
      </c>
      <c r="D30" s="5" t="s">
        <v>137</v>
      </c>
      <c r="E30" s="5">
        <f t="shared" si="1"/>
        <v>0</v>
      </c>
      <c r="F30" s="7">
        <v>137842</v>
      </c>
      <c r="G30" s="5" t="s">
        <v>64</v>
      </c>
      <c r="H30" s="5" t="s">
        <v>138</v>
      </c>
      <c r="I30" s="5">
        <f t="shared" ca="1" si="2"/>
        <v>68</v>
      </c>
      <c r="J30" s="5" t="s">
        <v>139</v>
      </c>
      <c r="K30" s="5" t="s">
        <v>140</v>
      </c>
      <c r="L30" s="7">
        <v>0</v>
      </c>
      <c r="M30" s="7">
        <f>SUM(F30+L30)</f>
        <v>137842</v>
      </c>
      <c r="N30" s="11">
        <f t="shared" si="3"/>
        <v>0</v>
      </c>
      <c r="O30" s="10" t="str">
        <f>_xlfn.XLOOKUP(A30,'Reference Data'!A:A,'Reference Data'!B:B)</f>
        <v>Head of Marketing</v>
      </c>
      <c r="P30" s="10" t="str">
        <f>_xlfn.XLOOKUP(A30,'Reference Data'!A:A,'Reference Data'!C:C)</f>
        <v>F</v>
      </c>
      <c r="Q30" s="7"/>
      <c r="R30" s="3"/>
      <c r="S30" s="3"/>
      <c r="T30" s="3"/>
      <c r="U30" s="3"/>
      <c r="V30" s="3"/>
    </row>
    <row r="31" spans="1:22" ht="16.5">
      <c r="A31" s="5" t="s">
        <v>141</v>
      </c>
      <c r="B31" s="5" t="s">
        <v>56</v>
      </c>
      <c r="C31" s="6" t="str">
        <f t="shared" si="0"/>
        <v>Tasty New York</v>
      </c>
      <c r="D31" s="5" t="s">
        <v>129</v>
      </c>
      <c r="E31" s="5">
        <f t="shared" si="1"/>
        <v>1</v>
      </c>
      <c r="F31" s="7">
        <v>80716</v>
      </c>
      <c r="G31" s="5" t="s">
        <v>113</v>
      </c>
      <c r="H31" s="5" t="s">
        <v>142</v>
      </c>
      <c r="I31" s="5">
        <f t="shared" ca="1" si="2"/>
        <v>39</v>
      </c>
      <c r="J31" s="5" t="s">
        <v>143</v>
      </c>
      <c r="K31" s="5" t="s">
        <v>144</v>
      </c>
      <c r="L31" s="7">
        <v>11300</v>
      </c>
      <c r="M31" s="7">
        <f>SUM(F31+L31)</f>
        <v>92016</v>
      </c>
      <c r="N31" s="11">
        <f t="shared" si="3"/>
        <v>0.12280472961224136</v>
      </c>
      <c r="O31" s="10" t="str">
        <f>_xlfn.XLOOKUP(A31,'Reference Data'!A:A,'Reference Data'!B:B)</f>
        <v>Plant Supervisor</v>
      </c>
      <c r="P31" s="10" t="str">
        <f>_xlfn.XLOOKUP(A31,'Reference Data'!A:A,'Reference Data'!C:C)</f>
        <v>M</v>
      </c>
      <c r="Q31" s="7"/>
    </row>
    <row r="32" spans="1:22" ht="16.5">
      <c r="A32" s="5" t="s">
        <v>145</v>
      </c>
      <c r="B32" s="5" t="s">
        <v>56</v>
      </c>
      <c r="C32" s="6" t="str">
        <f t="shared" si="0"/>
        <v>Tasty New Jersey</v>
      </c>
      <c r="D32" s="5" t="s">
        <v>63</v>
      </c>
      <c r="E32" s="5">
        <f t="shared" si="1"/>
        <v>0</v>
      </c>
      <c r="F32" s="7">
        <v>45498</v>
      </c>
      <c r="G32" s="5" t="s">
        <v>58</v>
      </c>
      <c r="H32" s="5" t="s">
        <v>146</v>
      </c>
      <c r="I32" s="5">
        <f t="shared" ca="1" si="2"/>
        <v>20</v>
      </c>
      <c r="J32" s="5" t="s">
        <v>66</v>
      </c>
      <c r="K32" s="5" t="s">
        <v>61</v>
      </c>
      <c r="L32" s="7">
        <v>0</v>
      </c>
      <c r="M32" s="7">
        <f>SUM(F32+L32)</f>
        <v>45498</v>
      </c>
      <c r="N32" s="11">
        <f t="shared" si="3"/>
        <v>0</v>
      </c>
      <c r="O32" s="10" t="str">
        <f>_xlfn.XLOOKUP(A32,'Reference Data'!A:A,'Reference Data'!B:B)</f>
        <v>Assistant</v>
      </c>
      <c r="P32" s="10" t="str">
        <f>_xlfn.XLOOKUP(A32,'Reference Data'!A:A,'Reference Data'!C:C)</f>
        <v>M</v>
      </c>
      <c r="Q32" s="7"/>
      <c r="R32" s="3"/>
      <c r="S32" s="3"/>
      <c r="T32" s="3"/>
      <c r="U32" s="3"/>
      <c r="V32" s="3"/>
    </row>
    <row r="33" spans="1:22" ht="16.5">
      <c r="A33" s="5" t="s">
        <v>147</v>
      </c>
      <c r="B33" s="5" t="s">
        <v>56</v>
      </c>
      <c r="C33" s="6" t="str">
        <f t="shared" si="0"/>
        <v>Tasty New York</v>
      </c>
      <c r="D33" s="5" t="s">
        <v>129</v>
      </c>
      <c r="E33" s="5">
        <f t="shared" si="1"/>
        <v>1</v>
      </c>
      <c r="F33" s="7">
        <v>106290</v>
      </c>
      <c r="G33" s="5" t="s">
        <v>113</v>
      </c>
      <c r="H33" s="5" t="s">
        <v>148</v>
      </c>
      <c r="I33" s="5">
        <f t="shared" ca="1" si="2"/>
        <v>29</v>
      </c>
      <c r="J33" s="5" t="s">
        <v>143</v>
      </c>
      <c r="K33" s="5" t="s">
        <v>144</v>
      </c>
      <c r="L33" s="7">
        <v>15944</v>
      </c>
      <c r="M33" s="7">
        <f>SUM(F33+L33)</f>
        <v>122234</v>
      </c>
      <c r="N33" s="11">
        <f t="shared" si="3"/>
        <v>0.1304383395781861</v>
      </c>
      <c r="O33" s="10" t="str">
        <f>_xlfn.XLOOKUP(A33,'Reference Data'!A:A,'Reference Data'!B:B)</f>
        <v>Plant Manager</v>
      </c>
      <c r="P33" s="10" t="str">
        <f>_xlfn.XLOOKUP(A33,'Reference Data'!A:A,'Reference Data'!C:C)</f>
        <v>F</v>
      </c>
      <c r="Q33" s="7"/>
    </row>
    <row r="34" spans="1:22" ht="16.5">
      <c r="A34" s="5" t="s">
        <v>149</v>
      </c>
      <c r="B34" s="5" t="s">
        <v>56</v>
      </c>
      <c r="C34" s="6" t="str">
        <f t="shared" si="0"/>
        <v>Tasty New Jersey</v>
      </c>
      <c r="D34" s="5" t="s">
        <v>150</v>
      </c>
      <c r="E34" s="5">
        <f t="shared" si="1"/>
        <v>0</v>
      </c>
      <c r="F34" s="7">
        <v>40113</v>
      </c>
      <c r="G34" s="5" t="s">
        <v>58</v>
      </c>
      <c r="H34" s="5" t="s">
        <v>151</v>
      </c>
      <c r="I34" s="5">
        <f t="shared" ca="1" si="2"/>
        <v>39</v>
      </c>
      <c r="J34" s="5" t="s">
        <v>152</v>
      </c>
      <c r="K34" s="5" t="s">
        <v>67</v>
      </c>
      <c r="L34" s="7">
        <v>0</v>
      </c>
      <c r="M34" s="7">
        <f>SUM(F34+L34)</f>
        <v>40113</v>
      </c>
      <c r="N34" s="11">
        <f t="shared" si="3"/>
        <v>0</v>
      </c>
      <c r="O34" s="10" t="str">
        <f>_xlfn.XLOOKUP(A34,'Reference Data'!A:A,'Reference Data'!B:B)</f>
        <v>Assistant</v>
      </c>
      <c r="P34" s="10" t="str">
        <f>_xlfn.XLOOKUP(A34,'Reference Data'!A:A,'Reference Data'!C:C)</f>
        <v>M</v>
      </c>
      <c r="Q34" s="7"/>
      <c r="R34" s="3"/>
      <c r="S34" s="3"/>
      <c r="T34" s="3"/>
      <c r="U34" s="3"/>
      <c r="V34" s="3"/>
    </row>
    <row r="35" spans="1:22" ht="16.5">
      <c r="A35" s="5" t="s">
        <v>153</v>
      </c>
      <c r="B35" s="5" t="s">
        <v>56</v>
      </c>
      <c r="C35" s="6" t="str">
        <f t="shared" si="0"/>
        <v>Tasty New Jersey</v>
      </c>
      <c r="D35" s="5" t="s">
        <v>154</v>
      </c>
      <c r="E35" s="5">
        <f t="shared" si="1"/>
        <v>0</v>
      </c>
      <c r="F35" s="7">
        <v>39780</v>
      </c>
      <c r="G35" s="5" t="s">
        <v>58</v>
      </c>
      <c r="H35" s="5" t="s">
        <v>155</v>
      </c>
      <c r="I35" s="5">
        <f t="shared" ca="1" si="2"/>
        <v>25</v>
      </c>
      <c r="J35" s="5" t="s">
        <v>156</v>
      </c>
      <c r="K35" s="5" t="s">
        <v>61</v>
      </c>
      <c r="L35" s="7">
        <v>0</v>
      </c>
      <c r="M35" s="7">
        <f>SUM(F35+L35)</f>
        <v>39780</v>
      </c>
      <c r="N35" s="11">
        <f t="shared" si="3"/>
        <v>0</v>
      </c>
      <c r="O35" s="10" t="str">
        <f>_xlfn.XLOOKUP(A35,'Reference Data'!A:A,'Reference Data'!B:B)</f>
        <v>Assistant</v>
      </c>
      <c r="P35" s="10" t="str">
        <f>_xlfn.XLOOKUP(A35,'Reference Data'!A:A,'Reference Data'!C:C)</f>
        <v>F</v>
      </c>
      <c r="Q35" s="7"/>
    </row>
    <row r="36" spans="1:22" ht="16.5">
      <c r="A36" s="5" t="s">
        <v>157</v>
      </c>
      <c r="B36" s="5" t="s">
        <v>56</v>
      </c>
      <c r="C36" s="6" t="str">
        <f t="shared" si="0"/>
        <v>Tasty New Jersey</v>
      </c>
      <c r="D36" s="5" t="s">
        <v>150</v>
      </c>
      <c r="E36" s="5">
        <f t="shared" si="1"/>
        <v>0</v>
      </c>
      <c r="F36" s="7">
        <v>52385</v>
      </c>
      <c r="G36" s="5" t="s">
        <v>58</v>
      </c>
      <c r="H36" s="5" t="s">
        <v>158</v>
      </c>
      <c r="I36" s="5">
        <f t="shared" ca="1" si="2"/>
        <v>23</v>
      </c>
      <c r="J36" s="5" t="s">
        <v>152</v>
      </c>
      <c r="K36" s="5" t="s">
        <v>140</v>
      </c>
      <c r="L36" s="7">
        <v>0</v>
      </c>
      <c r="M36" s="7">
        <f>SUM(F36+L36)</f>
        <v>52385</v>
      </c>
      <c r="N36" s="11">
        <f t="shared" si="3"/>
        <v>0</v>
      </c>
      <c r="O36" s="10" t="str">
        <f>_xlfn.XLOOKUP(A36,'Reference Data'!A:A,'Reference Data'!B:B)</f>
        <v>Assistant</v>
      </c>
      <c r="P36" s="10" t="str">
        <f>_xlfn.XLOOKUP(A36,'Reference Data'!A:A,'Reference Data'!C:C)</f>
        <v>F</v>
      </c>
      <c r="Q36" s="7"/>
    </row>
    <row r="37" spans="1:22" ht="16.5">
      <c r="A37" s="5" t="s">
        <v>159</v>
      </c>
      <c r="B37" s="5" t="s">
        <v>56</v>
      </c>
      <c r="C37" s="6" t="str">
        <f t="shared" si="0"/>
        <v>Tasty New Jersey</v>
      </c>
      <c r="D37" s="5" t="s">
        <v>129</v>
      </c>
      <c r="E37" s="5">
        <f t="shared" si="1"/>
        <v>1</v>
      </c>
      <c r="F37" s="7">
        <v>749564</v>
      </c>
      <c r="G37" s="5" t="s">
        <v>58</v>
      </c>
      <c r="H37" s="5" t="s">
        <v>160</v>
      </c>
      <c r="I37" s="5">
        <f t="shared" ca="1" si="2"/>
        <v>13</v>
      </c>
      <c r="J37" s="5" t="s">
        <v>161</v>
      </c>
      <c r="K37" s="5" t="s">
        <v>140</v>
      </c>
      <c r="L37" s="7">
        <v>0</v>
      </c>
      <c r="M37" s="7">
        <f>SUM(F37+L37)</f>
        <v>749564</v>
      </c>
      <c r="N37" s="11">
        <f t="shared" si="3"/>
        <v>0</v>
      </c>
      <c r="O37" s="10" t="str">
        <f>_xlfn.XLOOKUP(A37,'Reference Data'!A:A,'Reference Data'!B:B)</f>
        <v>Director</v>
      </c>
      <c r="P37" s="10" t="str">
        <f>_xlfn.XLOOKUP(A37,'Reference Data'!A:A,'Reference Data'!C:C)</f>
        <v>F</v>
      </c>
      <c r="Q37" s="7"/>
    </row>
    <row r="38" spans="1:22" ht="16.5">
      <c r="A38" s="5" t="s">
        <v>162</v>
      </c>
      <c r="B38" s="5" t="s">
        <v>56</v>
      </c>
      <c r="C38" s="6" t="str">
        <f t="shared" si="0"/>
        <v>Tasty New Jersey</v>
      </c>
      <c r="D38" s="5" t="s">
        <v>129</v>
      </c>
      <c r="E38" s="5">
        <f t="shared" si="1"/>
        <v>1</v>
      </c>
      <c r="F38" s="7">
        <v>171600</v>
      </c>
      <c r="G38" s="5" t="s">
        <v>58</v>
      </c>
      <c r="H38" s="5" t="s">
        <v>163</v>
      </c>
      <c r="I38" s="5">
        <f t="shared" ca="1" si="2"/>
        <v>27</v>
      </c>
      <c r="J38" s="5" t="s">
        <v>143</v>
      </c>
      <c r="K38" s="5" t="s">
        <v>144</v>
      </c>
      <c r="L38" s="7">
        <v>0</v>
      </c>
      <c r="M38" s="7">
        <f>SUM(F38+L38)</f>
        <v>171600</v>
      </c>
      <c r="N38" s="11">
        <f t="shared" si="3"/>
        <v>0</v>
      </c>
      <c r="O38" s="10" t="str">
        <f>_xlfn.XLOOKUP(A38,'Reference Data'!A:A,'Reference Data'!B:B)</f>
        <v>Director</v>
      </c>
      <c r="P38" s="10" t="str">
        <f>_xlfn.XLOOKUP(A38,'Reference Data'!A:A,'Reference Data'!C:C)</f>
        <v>M</v>
      </c>
      <c r="Q38" s="7"/>
    </row>
    <row r="39" spans="1:22" ht="16.5">
      <c r="A39" s="5" t="s">
        <v>164</v>
      </c>
      <c r="B39" s="5" t="s">
        <v>56</v>
      </c>
      <c r="C39" s="6" t="str">
        <f t="shared" si="0"/>
        <v>Tasty New York</v>
      </c>
      <c r="D39" s="5" t="s">
        <v>89</v>
      </c>
      <c r="E39" s="5">
        <f t="shared" si="1"/>
        <v>0</v>
      </c>
      <c r="F39" s="7">
        <v>234050</v>
      </c>
      <c r="G39" s="5" t="s">
        <v>64</v>
      </c>
      <c r="H39" s="5" t="s">
        <v>165</v>
      </c>
      <c r="I39" s="5">
        <f t="shared" ca="1" si="2"/>
        <v>40</v>
      </c>
      <c r="J39" s="5" t="s">
        <v>91</v>
      </c>
      <c r="K39" s="5" t="s">
        <v>67</v>
      </c>
      <c r="L39" s="7">
        <v>0</v>
      </c>
      <c r="M39" s="7">
        <f>SUM(F39+L39)</f>
        <v>234050</v>
      </c>
      <c r="N39" s="11">
        <f t="shared" si="3"/>
        <v>0</v>
      </c>
      <c r="O39" s="10" t="str">
        <f>_xlfn.XLOOKUP(A39,'Reference Data'!A:A,'Reference Data'!B:B)</f>
        <v>Director</v>
      </c>
      <c r="P39" s="10" t="str">
        <f>_xlfn.XLOOKUP(A39,'Reference Data'!A:A,'Reference Data'!C:C)</f>
        <v>M</v>
      </c>
      <c r="Q39" s="7"/>
    </row>
    <row r="40" spans="1:22" ht="16.5">
      <c r="A40" s="5" t="s">
        <v>166</v>
      </c>
      <c r="B40" s="5" t="s">
        <v>56</v>
      </c>
      <c r="C40" s="6" t="str">
        <f t="shared" si="0"/>
        <v>Tasty New Jersey</v>
      </c>
      <c r="D40" s="5" t="s">
        <v>154</v>
      </c>
      <c r="E40" s="5">
        <f t="shared" si="1"/>
        <v>0</v>
      </c>
      <c r="F40" s="7">
        <v>100272</v>
      </c>
      <c r="G40" s="5" t="s">
        <v>58</v>
      </c>
      <c r="H40" s="5" t="s">
        <v>84</v>
      </c>
      <c r="I40" s="5">
        <f t="shared" ca="1" si="2"/>
        <v>27</v>
      </c>
      <c r="J40" s="5" t="s">
        <v>156</v>
      </c>
      <c r="K40" s="5" t="s">
        <v>61</v>
      </c>
      <c r="L40" s="7">
        <v>0</v>
      </c>
      <c r="M40" s="7">
        <f>SUM(F40+L40)</f>
        <v>100272</v>
      </c>
      <c r="N40" s="11">
        <f t="shared" si="3"/>
        <v>0</v>
      </c>
      <c r="O40" s="10" t="str">
        <f>_xlfn.XLOOKUP(A40,'Reference Data'!A:A,'Reference Data'!B:B)</f>
        <v>Finance Manager</v>
      </c>
      <c r="P40" s="10" t="str">
        <f>_xlfn.XLOOKUP(A40,'Reference Data'!A:A,'Reference Data'!C:C)</f>
        <v>F</v>
      </c>
      <c r="Q40" s="7"/>
    </row>
    <row r="41" spans="1:22" ht="16.5">
      <c r="A41" s="5" t="s">
        <v>167</v>
      </c>
      <c r="B41" s="5" t="s">
        <v>56</v>
      </c>
      <c r="C41" s="6" t="str">
        <f t="shared" si="0"/>
        <v>Tasty New Jersey</v>
      </c>
      <c r="D41" s="5" t="s">
        <v>154</v>
      </c>
      <c r="E41" s="5">
        <f t="shared" si="1"/>
        <v>0</v>
      </c>
      <c r="F41" s="7">
        <v>173317</v>
      </c>
      <c r="G41" s="5" t="s">
        <v>58</v>
      </c>
      <c r="H41" s="5" t="s">
        <v>168</v>
      </c>
      <c r="I41" s="5">
        <f t="shared" ca="1" si="2"/>
        <v>31</v>
      </c>
      <c r="J41" s="5" t="s">
        <v>156</v>
      </c>
      <c r="K41" s="5" t="s">
        <v>61</v>
      </c>
      <c r="L41" s="7">
        <v>0</v>
      </c>
      <c r="M41" s="7">
        <f>SUM(F41+L41)</f>
        <v>173317</v>
      </c>
      <c r="N41" s="11">
        <f t="shared" si="3"/>
        <v>0</v>
      </c>
      <c r="O41" s="10" t="str">
        <f>_xlfn.XLOOKUP(A41,'Reference Data'!A:A,'Reference Data'!B:B)</f>
        <v>Head of Finance</v>
      </c>
      <c r="P41" s="10" t="str">
        <f>_xlfn.XLOOKUP(A41,'Reference Data'!A:A,'Reference Data'!C:C)</f>
        <v>M</v>
      </c>
      <c r="Q41" s="7"/>
    </row>
    <row r="42" spans="1:22" ht="16.5">
      <c r="A42" s="5" t="s">
        <v>169</v>
      </c>
      <c r="B42" s="5" t="s">
        <v>56</v>
      </c>
      <c r="C42" s="6" t="str">
        <f t="shared" si="0"/>
        <v>Tasty New Jersey</v>
      </c>
      <c r="D42" s="5" t="s">
        <v>170</v>
      </c>
      <c r="E42" s="5">
        <f t="shared" si="1"/>
        <v>0</v>
      </c>
      <c r="F42" s="7">
        <v>80350</v>
      </c>
      <c r="G42" s="5" t="s">
        <v>58</v>
      </c>
      <c r="H42" s="5" t="s">
        <v>171</v>
      </c>
      <c r="I42" s="5">
        <f t="shared" ca="1" si="2"/>
        <v>22</v>
      </c>
      <c r="J42" s="5" t="s">
        <v>172</v>
      </c>
      <c r="K42" s="5" t="s">
        <v>61</v>
      </c>
      <c r="L42" s="7">
        <v>0</v>
      </c>
      <c r="M42" s="7">
        <f>SUM(F42+L42)</f>
        <v>80350</v>
      </c>
      <c r="N42" s="11">
        <f t="shared" si="3"/>
        <v>0</v>
      </c>
      <c r="O42" s="10" t="str">
        <f>_xlfn.XLOOKUP(A42,'Reference Data'!A:A,'Reference Data'!B:B)</f>
        <v>Human Resource Officer</v>
      </c>
      <c r="P42" s="10" t="str">
        <f>_xlfn.XLOOKUP(A42,'Reference Data'!A:A,'Reference Data'!C:C)</f>
        <v>F</v>
      </c>
      <c r="Q42" s="7"/>
    </row>
    <row r="43" spans="1:22" ht="16.5">
      <c r="A43" s="5" t="s">
        <v>173</v>
      </c>
      <c r="B43" s="5" t="s">
        <v>56</v>
      </c>
      <c r="C43" s="6" t="str">
        <f t="shared" si="0"/>
        <v>Tasty New Jersey</v>
      </c>
      <c r="D43" s="5" t="s">
        <v>63</v>
      </c>
      <c r="E43" s="5">
        <f t="shared" si="1"/>
        <v>0</v>
      </c>
      <c r="F43" s="7">
        <v>121422</v>
      </c>
      <c r="G43" s="5" t="s">
        <v>58</v>
      </c>
      <c r="H43" s="5" t="s">
        <v>174</v>
      </c>
      <c r="I43" s="5">
        <f t="shared" ca="1" si="2"/>
        <v>20</v>
      </c>
      <c r="J43" s="5" t="s">
        <v>66</v>
      </c>
      <c r="K43" s="5" t="s">
        <v>67</v>
      </c>
      <c r="L43" s="7">
        <v>0</v>
      </c>
      <c r="M43" s="7">
        <f>SUM(F43+L43)</f>
        <v>121422</v>
      </c>
      <c r="N43" s="11">
        <f t="shared" si="3"/>
        <v>0</v>
      </c>
      <c r="O43" s="10" t="str">
        <f>_xlfn.XLOOKUP(A43,'Reference Data'!A:A,'Reference Data'!B:B)</f>
        <v>IT Leader</v>
      </c>
      <c r="P43" s="10" t="str">
        <f>_xlfn.XLOOKUP(A43,'Reference Data'!A:A,'Reference Data'!C:C)</f>
        <v>F</v>
      </c>
      <c r="Q43" s="7"/>
    </row>
    <row r="44" spans="1:22" ht="16.5">
      <c r="A44" s="5" t="s">
        <v>175</v>
      </c>
      <c r="B44" s="5" t="s">
        <v>56</v>
      </c>
      <c r="C44" s="6" t="str">
        <f t="shared" si="0"/>
        <v>Tasty New York</v>
      </c>
      <c r="D44" s="5" t="s">
        <v>57</v>
      </c>
      <c r="E44" s="5">
        <f t="shared" si="1"/>
        <v>1</v>
      </c>
      <c r="F44" s="7">
        <v>43249</v>
      </c>
      <c r="G44" s="5" t="s">
        <v>113</v>
      </c>
      <c r="H44" s="5" t="s">
        <v>176</v>
      </c>
      <c r="I44" s="5">
        <f t="shared" ca="1" si="2"/>
        <v>36</v>
      </c>
      <c r="J44" s="5" t="s">
        <v>96</v>
      </c>
      <c r="K44" s="5" t="s">
        <v>115</v>
      </c>
      <c r="L44" s="7">
        <v>6487</v>
      </c>
      <c r="M44" s="7">
        <f>SUM(F44+L44)</f>
        <v>49736</v>
      </c>
      <c r="N44" s="11">
        <f t="shared" si="3"/>
        <v>0.13042866334244813</v>
      </c>
      <c r="O44" s="10" t="str">
        <f>_xlfn.XLOOKUP(A44,'Reference Data'!A:A,'Reference Data'!B:B)</f>
        <v>Plant Worker</v>
      </c>
      <c r="P44" s="10" t="str">
        <f>_xlfn.XLOOKUP(A44,'Reference Data'!A:A,'Reference Data'!C:C)</f>
        <v>F</v>
      </c>
      <c r="Q44" s="7"/>
    </row>
    <row r="45" spans="1:22" ht="16.5">
      <c r="A45" s="5" t="s">
        <v>177</v>
      </c>
      <c r="B45" s="5" t="s">
        <v>56</v>
      </c>
      <c r="C45" s="6" t="str">
        <f t="shared" si="0"/>
        <v>Tasty New York</v>
      </c>
      <c r="D45" s="5" t="s">
        <v>63</v>
      </c>
      <c r="E45" s="5">
        <f t="shared" si="1"/>
        <v>0</v>
      </c>
      <c r="F45" s="7">
        <v>71873</v>
      </c>
      <c r="G45" s="5" t="s">
        <v>64</v>
      </c>
      <c r="H45" s="5" t="s">
        <v>178</v>
      </c>
      <c r="I45" s="5">
        <f t="shared" ca="1" si="2"/>
        <v>37</v>
      </c>
      <c r="J45" s="5" t="s">
        <v>179</v>
      </c>
      <c r="K45" s="5" t="s">
        <v>180</v>
      </c>
      <c r="L45" s="7">
        <v>0</v>
      </c>
      <c r="M45" s="7">
        <f>SUM(F45+L45)</f>
        <v>71873</v>
      </c>
      <c r="N45" s="11">
        <f t="shared" si="3"/>
        <v>0</v>
      </c>
      <c r="O45" s="10" t="str">
        <f>_xlfn.XLOOKUP(A45,'Reference Data'!A:A,'Reference Data'!B:B)</f>
        <v>Senior Assistant</v>
      </c>
      <c r="P45" s="10" t="str">
        <f>_xlfn.XLOOKUP(A45,'Reference Data'!A:A,'Reference Data'!C:C)</f>
        <v>M</v>
      </c>
      <c r="Q45" s="7"/>
      <c r="R45" s="3"/>
      <c r="S45" s="3"/>
      <c r="T45" s="3"/>
      <c r="U45" s="3"/>
      <c r="V45" s="3"/>
    </row>
    <row r="46" spans="1:22" ht="16.5">
      <c r="A46" s="5" t="s">
        <v>181</v>
      </c>
      <c r="B46" s="5" t="s">
        <v>56</v>
      </c>
      <c r="C46" s="6" t="str">
        <f t="shared" si="0"/>
        <v>Tasty New Jersey</v>
      </c>
      <c r="D46" s="5" t="s">
        <v>63</v>
      </c>
      <c r="E46" s="5">
        <f t="shared" si="1"/>
        <v>0</v>
      </c>
      <c r="F46" s="7">
        <v>120371</v>
      </c>
      <c r="G46" s="5" t="s">
        <v>58</v>
      </c>
      <c r="H46" s="5" t="s">
        <v>182</v>
      </c>
      <c r="I46" s="5">
        <f t="shared" ca="1" si="2"/>
        <v>28</v>
      </c>
      <c r="J46" s="5" t="s">
        <v>179</v>
      </c>
      <c r="K46" s="5" t="s">
        <v>180</v>
      </c>
      <c r="L46" s="7">
        <v>0</v>
      </c>
      <c r="M46" s="7">
        <f>SUM(F46+L46)</f>
        <v>120371</v>
      </c>
      <c r="N46" s="11">
        <f t="shared" si="3"/>
        <v>0</v>
      </c>
      <c r="O46" s="10" t="str">
        <f>_xlfn.XLOOKUP(A46,'Reference Data'!A:A,'Reference Data'!B:B)</f>
        <v>IT Leader</v>
      </c>
      <c r="P46" s="10" t="str">
        <f>_xlfn.XLOOKUP(A46,'Reference Data'!A:A,'Reference Data'!C:C)</f>
        <v>M</v>
      </c>
      <c r="Q46" s="7"/>
    </row>
    <row r="47" spans="1:22" ht="16.5">
      <c r="A47" s="5" t="s">
        <v>183</v>
      </c>
      <c r="B47" s="5" t="s">
        <v>56</v>
      </c>
      <c r="C47" s="6" t="str">
        <f t="shared" si="0"/>
        <v>Tasty New York</v>
      </c>
      <c r="D47" s="5" t="s">
        <v>89</v>
      </c>
      <c r="E47" s="5">
        <f t="shared" si="1"/>
        <v>0</v>
      </c>
      <c r="F47" s="7">
        <v>184963</v>
      </c>
      <c r="G47" s="5" t="s">
        <v>64</v>
      </c>
      <c r="H47" s="5" t="s">
        <v>184</v>
      </c>
      <c r="I47" s="5">
        <f t="shared" ca="1" si="2"/>
        <v>36</v>
      </c>
      <c r="J47" s="5" t="s">
        <v>91</v>
      </c>
      <c r="K47" s="5" t="s">
        <v>67</v>
      </c>
      <c r="L47" s="7">
        <v>29594</v>
      </c>
      <c r="M47" s="7">
        <f>SUM(F47+L47)</f>
        <v>214557</v>
      </c>
      <c r="N47" s="11">
        <f t="shared" si="3"/>
        <v>0.13793071305061125</v>
      </c>
      <c r="O47" s="10" t="str">
        <f>_xlfn.XLOOKUP(A47,'Reference Data'!A:A,'Reference Data'!B:B)</f>
        <v>Plant Leader</v>
      </c>
      <c r="P47" s="10" t="str">
        <f>_xlfn.XLOOKUP(A47,'Reference Data'!A:A,'Reference Data'!C:C)</f>
        <v>M</v>
      </c>
      <c r="Q47" s="7"/>
    </row>
    <row r="48" spans="1:22" ht="16.5">
      <c r="A48" s="5" t="s">
        <v>185</v>
      </c>
      <c r="B48" s="5" t="s">
        <v>56</v>
      </c>
      <c r="C48" s="6" t="str">
        <f t="shared" si="0"/>
        <v>Tasty New York</v>
      </c>
      <c r="D48" s="5" t="s">
        <v>69</v>
      </c>
      <c r="E48" s="5">
        <f t="shared" si="1"/>
        <v>1</v>
      </c>
      <c r="F48" s="7">
        <v>112294</v>
      </c>
      <c r="G48" s="5" t="s">
        <v>77</v>
      </c>
      <c r="H48" s="5" t="s">
        <v>186</v>
      </c>
      <c r="I48" s="5">
        <f t="shared" ca="1" si="2"/>
        <v>35</v>
      </c>
      <c r="J48" s="5" t="s">
        <v>187</v>
      </c>
      <c r="K48" s="5" t="s">
        <v>79</v>
      </c>
      <c r="L48" s="7">
        <v>11229</v>
      </c>
      <c r="M48" s="7">
        <f>SUM(F48+L48)</f>
        <v>123523</v>
      </c>
      <c r="N48" s="11">
        <f t="shared" si="3"/>
        <v>9.0906147033346013E-2</v>
      </c>
      <c r="O48" s="10" t="str">
        <f>_xlfn.XLOOKUP(A48,'Reference Data'!A:A,'Reference Data'!B:B)</f>
        <v>Plant Leader</v>
      </c>
      <c r="P48" s="10" t="str">
        <f>_xlfn.XLOOKUP(A48,'Reference Data'!A:A,'Reference Data'!C:C)</f>
        <v>M</v>
      </c>
      <c r="Q48" s="7"/>
      <c r="R48" s="3"/>
      <c r="S48" s="3"/>
      <c r="T48" s="3"/>
      <c r="U48" s="3"/>
      <c r="V48" s="3"/>
    </row>
    <row r="49" spans="1:22" ht="16.5">
      <c r="A49" s="5" t="s">
        <v>188</v>
      </c>
      <c r="B49" s="5" t="s">
        <v>56</v>
      </c>
      <c r="C49" s="6" t="str">
        <f t="shared" si="0"/>
        <v>Tasty New York</v>
      </c>
      <c r="D49" s="5" t="s">
        <v>89</v>
      </c>
      <c r="E49" s="5">
        <f t="shared" si="1"/>
        <v>0</v>
      </c>
      <c r="F49" s="7">
        <v>141672</v>
      </c>
      <c r="G49" s="5" t="s">
        <v>77</v>
      </c>
      <c r="H49" s="5" t="s">
        <v>189</v>
      </c>
      <c r="I49" s="5">
        <f t="shared" ca="1" si="2"/>
        <v>34</v>
      </c>
      <c r="J49" s="5" t="s">
        <v>91</v>
      </c>
      <c r="K49" s="5" t="s">
        <v>79</v>
      </c>
      <c r="L49" s="7">
        <v>8500</v>
      </c>
      <c r="M49" s="7">
        <f>SUM(F49+L49)</f>
        <v>150172</v>
      </c>
      <c r="N49" s="11">
        <f t="shared" si="3"/>
        <v>5.6601763311402924E-2</v>
      </c>
      <c r="O49" s="10" t="str">
        <f>_xlfn.XLOOKUP(A49,'Reference Data'!A:A,'Reference Data'!B:B)</f>
        <v>Plant Manager</v>
      </c>
      <c r="P49" s="10" t="str">
        <f>_xlfn.XLOOKUP(A49,'Reference Data'!A:A,'Reference Data'!C:C)</f>
        <v>M</v>
      </c>
      <c r="Q49" s="7"/>
      <c r="R49" s="3"/>
      <c r="S49" s="3"/>
      <c r="T49" s="3"/>
      <c r="U49" s="3"/>
      <c r="V49" s="3"/>
    </row>
    <row r="50" spans="1:22" ht="16.5">
      <c r="A50" s="5" t="s">
        <v>190</v>
      </c>
      <c r="B50" s="5" t="s">
        <v>56</v>
      </c>
      <c r="C50" s="6" t="str">
        <f t="shared" si="0"/>
        <v>Tasty New York</v>
      </c>
      <c r="D50" s="5" t="s">
        <v>63</v>
      </c>
      <c r="E50" s="5">
        <f t="shared" si="1"/>
        <v>0</v>
      </c>
      <c r="F50" s="7">
        <v>76752</v>
      </c>
      <c r="G50" s="5" t="s">
        <v>191</v>
      </c>
      <c r="H50" s="5" t="s">
        <v>192</v>
      </c>
      <c r="I50" s="5">
        <f t="shared" ca="1" si="2"/>
        <v>14</v>
      </c>
      <c r="J50" s="5" t="s">
        <v>66</v>
      </c>
      <c r="K50" s="5" t="s">
        <v>61</v>
      </c>
      <c r="L50" s="7">
        <v>0</v>
      </c>
      <c r="M50" s="7">
        <f>SUM(F50+L50)</f>
        <v>76752</v>
      </c>
      <c r="N50" s="11">
        <f t="shared" si="3"/>
        <v>0</v>
      </c>
      <c r="O50" s="10" t="str">
        <f>_xlfn.XLOOKUP(A50,'Reference Data'!A:A,'Reference Data'!B:B)</f>
        <v>IT Manager</v>
      </c>
      <c r="P50" s="10" t="str">
        <f>_xlfn.XLOOKUP(A50,'Reference Data'!A:A,'Reference Data'!C:C)</f>
        <v>M</v>
      </c>
      <c r="Q50" s="7"/>
      <c r="R50" s="3"/>
      <c r="S50" s="3"/>
      <c r="T50" s="3"/>
      <c r="U50" s="3"/>
      <c r="V50" s="3"/>
    </row>
    <row r="51" spans="1:22" ht="16.5">
      <c r="A51" s="5" t="s">
        <v>193</v>
      </c>
      <c r="B51" s="5" t="s">
        <v>56</v>
      </c>
      <c r="C51" s="6" t="str">
        <f t="shared" si="0"/>
        <v>Tasty New York</v>
      </c>
      <c r="D51" s="5" t="s">
        <v>150</v>
      </c>
      <c r="E51" s="5">
        <f t="shared" si="1"/>
        <v>0</v>
      </c>
      <c r="F51" s="7">
        <v>175052</v>
      </c>
      <c r="G51" s="5" t="s">
        <v>64</v>
      </c>
      <c r="H51" s="5" t="s">
        <v>194</v>
      </c>
      <c r="I51" s="5">
        <f t="shared" ca="1" si="2"/>
        <v>43</v>
      </c>
      <c r="J51" s="5" t="s">
        <v>152</v>
      </c>
      <c r="K51" s="5" t="s">
        <v>140</v>
      </c>
      <c r="L51" s="7">
        <v>0</v>
      </c>
      <c r="M51" s="7">
        <f>SUM(F51+L51)</f>
        <v>175052</v>
      </c>
      <c r="N51" s="11">
        <f t="shared" si="3"/>
        <v>0</v>
      </c>
      <c r="O51" s="10" t="str">
        <f>_xlfn.XLOOKUP(A51,'Reference Data'!A:A,'Reference Data'!B:B)</f>
        <v>Head of Support Services</v>
      </c>
      <c r="P51" s="10" t="str">
        <f>_xlfn.XLOOKUP(A51,'Reference Data'!A:A,'Reference Data'!C:C)</f>
        <v>F</v>
      </c>
      <c r="Q51" s="7"/>
    </row>
    <row r="52" spans="1:22" ht="16.5">
      <c r="A52" s="5" t="s">
        <v>195</v>
      </c>
      <c r="B52" s="5" t="s">
        <v>56</v>
      </c>
      <c r="C52" s="6" t="str">
        <f t="shared" si="0"/>
        <v>Tasty New York</v>
      </c>
      <c r="D52" s="5" t="s">
        <v>63</v>
      </c>
      <c r="E52" s="5">
        <f t="shared" si="1"/>
        <v>0</v>
      </c>
      <c r="F52" s="7">
        <v>129273</v>
      </c>
      <c r="G52" s="5" t="s">
        <v>64</v>
      </c>
      <c r="H52" s="5" t="s">
        <v>196</v>
      </c>
      <c r="I52" s="5">
        <f t="shared" ca="1" si="2"/>
        <v>49</v>
      </c>
      <c r="J52" s="5" t="s">
        <v>179</v>
      </c>
      <c r="K52" s="5" t="s">
        <v>180</v>
      </c>
      <c r="L52" s="7">
        <v>0</v>
      </c>
      <c r="M52" s="7">
        <f>SUM(F52+L52)</f>
        <v>129273</v>
      </c>
      <c r="N52" s="11">
        <f t="shared" si="3"/>
        <v>0</v>
      </c>
      <c r="O52" s="10" t="str">
        <f>_xlfn.XLOOKUP(A52,'Reference Data'!A:A,'Reference Data'!B:B)</f>
        <v>IT Leader</v>
      </c>
      <c r="P52" s="10" t="str">
        <f>_xlfn.XLOOKUP(A52,'Reference Data'!A:A,'Reference Data'!C:C)</f>
        <v>F</v>
      </c>
      <c r="Q52" s="7"/>
    </row>
    <row r="53" spans="1:22" ht="16.5">
      <c r="A53" s="5" t="s">
        <v>197</v>
      </c>
      <c r="B53" s="5" t="s">
        <v>56</v>
      </c>
      <c r="C53" s="6" t="str">
        <f t="shared" si="0"/>
        <v>Tasty New York</v>
      </c>
      <c r="D53" s="5" t="s">
        <v>150</v>
      </c>
      <c r="E53" s="5">
        <f t="shared" si="1"/>
        <v>0</v>
      </c>
      <c r="F53" s="7">
        <v>60733.95</v>
      </c>
      <c r="G53" s="5" t="s">
        <v>64</v>
      </c>
      <c r="H53" s="5" t="s">
        <v>198</v>
      </c>
      <c r="I53" s="5">
        <f t="shared" ca="1" si="2"/>
        <v>37</v>
      </c>
      <c r="J53" s="5" t="s">
        <v>152</v>
      </c>
      <c r="K53" s="5" t="s">
        <v>199</v>
      </c>
      <c r="L53" s="7">
        <v>0</v>
      </c>
      <c r="M53" s="7">
        <f>SUM(F53+L53)</f>
        <v>60733.95</v>
      </c>
      <c r="N53" s="11">
        <f t="shared" si="3"/>
        <v>0</v>
      </c>
      <c r="O53" s="10" t="str">
        <f>_xlfn.XLOOKUP(A53,'Reference Data'!A:A,'Reference Data'!B:B)</f>
        <v>Senior Assistant</v>
      </c>
      <c r="P53" s="10" t="str">
        <f>_xlfn.XLOOKUP(A53,'Reference Data'!A:A,'Reference Data'!C:C)</f>
        <v>F</v>
      </c>
      <c r="Q53" s="7"/>
    </row>
    <row r="54" spans="1:22" ht="16.5">
      <c r="A54" s="5" t="s">
        <v>200</v>
      </c>
      <c r="B54" s="5" t="s">
        <v>56</v>
      </c>
      <c r="C54" s="6" t="str">
        <f t="shared" si="0"/>
        <v>Tasty New York</v>
      </c>
      <c r="D54" s="5" t="s">
        <v>150</v>
      </c>
      <c r="E54" s="5">
        <f t="shared" si="1"/>
        <v>0</v>
      </c>
      <c r="F54" s="7">
        <v>156180</v>
      </c>
      <c r="G54" s="5" t="s">
        <v>64</v>
      </c>
      <c r="H54" s="5" t="s">
        <v>201</v>
      </c>
      <c r="I54" s="5">
        <f t="shared" ca="1" si="2"/>
        <v>37</v>
      </c>
      <c r="J54" s="5" t="s">
        <v>152</v>
      </c>
      <c r="K54" s="5" t="s">
        <v>199</v>
      </c>
      <c r="L54" s="7">
        <v>0</v>
      </c>
      <c r="M54" s="7">
        <f>SUM(F54+L54)</f>
        <v>156180</v>
      </c>
      <c r="N54" s="11">
        <f t="shared" si="3"/>
        <v>0</v>
      </c>
      <c r="O54" s="10" t="str">
        <f>_xlfn.XLOOKUP(A54,'Reference Data'!A:A,'Reference Data'!B:B)</f>
        <v>Team Leader</v>
      </c>
      <c r="P54" s="10" t="str">
        <f>_xlfn.XLOOKUP(A54,'Reference Data'!A:A,'Reference Data'!C:C)</f>
        <v>M</v>
      </c>
      <c r="Q54" s="7"/>
    </row>
    <row r="55" spans="1:22" ht="16.5">
      <c r="A55" s="5" t="s">
        <v>202</v>
      </c>
      <c r="B55" s="5" t="s">
        <v>56</v>
      </c>
      <c r="C55" s="6" t="str">
        <f t="shared" si="0"/>
        <v>Tasty New York</v>
      </c>
      <c r="D55" s="5" t="s">
        <v>57</v>
      </c>
      <c r="E55" s="5">
        <f t="shared" si="1"/>
        <v>1</v>
      </c>
      <c r="F55" s="7">
        <v>87979</v>
      </c>
      <c r="G55" s="5" t="s">
        <v>77</v>
      </c>
      <c r="H55" s="5" t="s">
        <v>203</v>
      </c>
      <c r="I55" s="5">
        <f t="shared" ca="1" si="2"/>
        <v>32</v>
      </c>
      <c r="J55" s="5" t="s">
        <v>96</v>
      </c>
      <c r="K55" s="5" t="s">
        <v>135</v>
      </c>
      <c r="L55" s="7">
        <v>12317</v>
      </c>
      <c r="M55" s="7">
        <f>SUM(F55+L55)</f>
        <v>100296</v>
      </c>
      <c r="N55" s="11">
        <f t="shared" si="3"/>
        <v>0.12280649278136715</v>
      </c>
      <c r="O55" s="10" t="str">
        <f>_xlfn.XLOOKUP(A55,'Reference Data'!A:A,'Reference Data'!B:B)</f>
        <v>Plant Supervisor</v>
      </c>
      <c r="P55" s="10" t="str">
        <f>_xlfn.XLOOKUP(A55,'Reference Data'!A:A,'Reference Data'!C:C)</f>
        <v>F</v>
      </c>
      <c r="Q55" s="7"/>
    </row>
    <row r="56" spans="1:22" ht="16.5">
      <c r="A56" s="5" t="s">
        <v>204</v>
      </c>
      <c r="B56" s="5" t="s">
        <v>56</v>
      </c>
      <c r="C56" s="6" t="str">
        <f t="shared" si="0"/>
        <v>Tasty New York</v>
      </c>
      <c r="D56" s="5" t="s">
        <v>57</v>
      </c>
      <c r="E56" s="5">
        <f t="shared" si="1"/>
        <v>1</v>
      </c>
      <c r="F56" s="7">
        <v>45619</v>
      </c>
      <c r="G56" s="5" t="s">
        <v>113</v>
      </c>
      <c r="H56" s="5" t="s">
        <v>78</v>
      </c>
      <c r="I56" s="5">
        <f t="shared" ca="1" si="2"/>
        <v>30</v>
      </c>
      <c r="J56" s="5" t="s">
        <v>96</v>
      </c>
      <c r="K56" s="5" t="s">
        <v>115</v>
      </c>
      <c r="L56" s="7">
        <v>7299</v>
      </c>
      <c r="M56" s="7">
        <f>SUM(F56+L56)</f>
        <v>52918</v>
      </c>
      <c r="N56" s="11">
        <f t="shared" si="3"/>
        <v>0.13793038285649495</v>
      </c>
      <c r="O56" s="10" t="str">
        <f>_xlfn.XLOOKUP(A56,'Reference Data'!A:A,'Reference Data'!B:B)</f>
        <v>Plant Worker</v>
      </c>
      <c r="P56" s="10" t="str">
        <f>_xlfn.XLOOKUP(A56,'Reference Data'!A:A,'Reference Data'!C:C)</f>
        <v>M</v>
      </c>
      <c r="Q56" s="7"/>
      <c r="R56" s="3"/>
      <c r="S56" s="3"/>
      <c r="T56" s="3"/>
      <c r="U56" s="3"/>
      <c r="V56" s="3"/>
    </row>
    <row r="57" spans="1:22" ht="16.5">
      <c r="A57" s="5" t="s">
        <v>205</v>
      </c>
      <c r="B57" s="5" t="s">
        <v>56</v>
      </c>
      <c r="C57" s="6" t="str">
        <f t="shared" si="0"/>
        <v>Tasty New Jersey</v>
      </c>
      <c r="D57" s="5" t="s">
        <v>63</v>
      </c>
      <c r="E57" s="5">
        <f t="shared" si="1"/>
        <v>0</v>
      </c>
      <c r="F57" s="7">
        <v>87718</v>
      </c>
      <c r="G57" s="5" t="s">
        <v>58</v>
      </c>
      <c r="H57" s="5" t="s">
        <v>206</v>
      </c>
      <c r="I57" s="5">
        <f t="shared" ca="1" si="2"/>
        <v>27</v>
      </c>
      <c r="J57" s="5" t="s">
        <v>179</v>
      </c>
      <c r="K57" s="5" t="s">
        <v>180</v>
      </c>
      <c r="L57" s="7">
        <v>0</v>
      </c>
      <c r="M57" s="7">
        <f>SUM(F57+L57)</f>
        <v>87718</v>
      </c>
      <c r="N57" s="11">
        <f t="shared" si="3"/>
        <v>0</v>
      </c>
      <c r="O57" s="10" t="str">
        <f>_xlfn.XLOOKUP(A57,'Reference Data'!A:A,'Reference Data'!B:B)</f>
        <v>IT Manager</v>
      </c>
      <c r="P57" s="10" t="str">
        <f>_xlfn.XLOOKUP(A57,'Reference Data'!A:A,'Reference Data'!C:C)</f>
        <v>M</v>
      </c>
      <c r="Q57" s="7"/>
      <c r="R57" s="3"/>
      <c r="S57" s="3"/>
      <c r="T57" s="3"/>
      <c r="U57" s="3"/>
      <c r="V57" s="3"/>
    </row>
    <row r="58" spans="1:22" ht="16.5">
      <c r="A58" s="5" t="s">
        <v>207</v>
      </c>
      <c r="B58" s="5" t="s">
        <v>56</v>
      </c>
      <c r="C58" s="6" t="str">
        <f t="shared" si="0"/>
        <v>Tasty New York</v>
      </c>
      <c r="D58" s="5" t="s">
        <v>102</v>
      </c>
      <c r="E58" s="5">
        <f t="shared" si="1"/>
        <v>1</v>
      </c>
      <c r="F58" s="7">
        <v>76331</v>
      </c>
      <c r="G58" s="5" t="s">
        <v>77</v>
      </c>
      <c r="H58" s="5" t="s">
        <v>208</v>
      </c>
      <c r="I58" s="5">
        <f t="shared" ca="1" si="2"/>
        <v>32</v>
      </c>
      <c r="J58" s="5" t="s">
        <v>96</v>
      </c>
      <c r="K58" s="5" t="s">
        <v>79</v>
      </c>
      <c r="L58" s="7">
        <v>6106</v>
      </c>
      <c r="M58" s="7">
        <f>SUM(F58+L58)</f>
        <v>82437</v>
      </c>
      <c r="N58" s="11">
        <f t="shared" si="3"/>
        <v>7.4068682751677037E-2</v>
      </c>
      <c r="O58" s="10" t="str">
        <f>_xlfn.XLOOKUP(A58,'Reference Data'!A:A,'Reference Data'!B:B)</f>
        <v>Plant Supervisor</v>
      </c>
      <c r="P58" s="10" t="str">
        <f>_xlfn.XLOOKUP(A58,'Reference Data'!A:A,'Reference Data'!C:C)</f>
        <v>M</v>
      </c>
      <c r="Q58" s="7"/>
    </row>
    <row r="59" spans="1:22" ht="16.5">
      <c r="A59" s="5" t="s">
        <v>209</v>
      </c>
      <c r="B59" s="5" t="s">
        <v>56</v>
      </c>
      <c r="C59" s="6" t="str">
        <f t="shared" si="0"/>
        <v>Tasty New Jersey</v>
      </c>
      <c r="D59" s="5" t="s">
        <v>150</v>
      </c>
      <c r="E59" s="5">
        <f t="shared" si="1"/>
        <v>0</v>
      </c>
      <c r="F59" s="7">
        <v>115101</v>
      </c>
      <c r="G59" s="5" t="s">
        <v>58</v>
      </c>
      <c r="H59" s="5" t="s">
        <v>210</v>
      </c>
      <c r="I59" s="5">
        <f t="shared" ca="1" si="2"/>
        <v>30</v>
      </c>
      <c r="J59" s="5" t="s">
        <v>211</v>
      </c>
      <c r="K59" s="5" t="s">
        <v>61</v>
      </c>
      <c r="L59" s="7">
        <v>0</v>
      </c>
      <c r="M59" s="7">
        <f>SUM(F59+L59)</f>
        <v>115101</v>
      </c>
      <c r="N59" s="11">
        <f t="shared" si="3"/>
        <v>0</v>
      </c>
      <c r="O59" s="10" t="str">
        <f>_xlfn.XLOOKUP(A59,'Reference Data'!A:A,'Reference Data'!B:B)</f>
        <v>Manager</v>
      </c>
      <c r="P59" s="10" t="str">
        <f>_xlfn.XLOOKUP(A59,'Reference Data'!A:A,'Reference Data'!C:C)</f>
        <v>M</v>
      </c>
      <c r="Q59" s="7"/>
      <c r="R59" s="3"/>
      <c r="S59" s="3"/>
      <c r="T59" s="3"/>
      <c r="U59" s="3"/>
      <c r="V59" s="3"/>
    </row>
    <row r="60" spans="1:22" ht="16.5">
      <c r="A60" s="5" t="s">
        <v>212</v>
      </c>
      <c r="B60" s="5" t="s">
        <v>56</v>
      </c>
      <c r="C60" s="6" t="str">
        <f t="shared" si="0"/>
        <v>Tasty New York</v>
      </c>
      <c r="D60" s="5" t="s">
        <v>89</v>
      </c>
      <c r="E60" s="5">
        <f t="shared" si="1"/>
        <v>0</v>
      </c>
      <c r="F60" s="7">
        <v>145025</v>
      </c>
      <c r="G60" s="5" t="s">
        <v>77</v>
      </c>
      <c r="H60" s="5" t="s">
        <v>168</v>
      </c>
      <c r="I60" s="5">
        <f t="shared" ca="1" si="2"/>
        <v>31</v>
      </c>
      <c r="J60" s="5" t="s">
        <v>91</v>
      </c>
      <c r="K60" s="5" t="s">
        <v>135</v>
      </c>
      <c r="L60" s="7">
        <v>21754</v>
      </c>
      <c r="M60" s="7">
        <f>SUM(F60+L60)</f>
        <v>166779</v>
      </c>
      <c r="N60" s="11">
        <f t="shared" si="3"/>
        <v>0.13043608607798343</v>
      </c>
      <c r="O60" s="10" t="str">
        <f>_xlfn.XLOOKUP(A60,'Reference Data'!A:A,'Reference Data'!B:B)</f>
        <v>Plant Manager</v>
      </c>
      <c r="P60" s="10" t="str">
        <f>_xlfn.XLOOKUP(A60,'Reference Data'!A:A,'Reference Data'!C:C)</f>
        <v>M</v>
      </c>
      <c r="Q60" s="7"/>
    </row>
    <row r="61" spans="1:22" ht="16.5">
      <c r="A61" s="5" t="s">
        <v>209</v>
      </c>
      <c r="B61" s="5" t="s">
        <v>56</v>
      </c>
      <c r="C61" s="6" t="str">
        <f t="shared" si="0"/>
        <v>Tasty New Jersey</v>
      </c>
      <c r="D61" s="5" t="s">
        <v>150</v>
      </c>
      <c r="E61" s="5">
        <f t="shared" si="1"/>
        <v>0</v>
      </c>
      <c r="F61" s="7">
        <v>115101</v>
      </c>
      <c r="G61" s="5" t="s">
        <v>58</v>
      </c>
      <c r="H61" s="5" t="s">
        <v>210</v>
      </c>
      <c r="I61" s="5">
        <f t="shared" ca="1" si="2"/>
        <v>30</v>
      </c>
      <c r="J61" s="5" t="s">
        <v>211</v>
      </c>
      <c r="K61" s="5" t="s">
        <v>61</v>
      </c>
      <c r="L61" s="7">
        <v>0</v>
      </c>
      <c r="M61" s="7">
        <f>SUM(F61+L61)</f>
        <v>115101</v>
      </c>
      <c r="N61" s="11">
        <f t="shared" si="3"/>
        <v>0</v>
      </c>
      <c r="O61" s="10" t="str">
        <f>_xlfn.XLOOKUP(A61,'Reference Data'!A:A,'Reference Data'!B:B)</f>
        <v>Manager</v>
      </c>
      <c r="P61" s="10" t="str">
        <f>_xlfn.XLOOKUP(A61,'Reference Data'!A:A,'Reference Data'!C:C)</f>
        <v>M</v>
      </c>
      <c r="Q61" s="7"/>
      <c r="R61" s="3"/>
      <c r="S61" s="3"/>
      <c r="T61" s="3"/>
      <c r="U61" s="3"/>
      <c r="V61" s="3"/>
    </row>
    <row r="62" spans="1:22" ht="16.5">
      <c r="A62" s="5" t="s">
        <v>213</v>
      </c>
      <c r="B62" s="5" t="s">
        <v>56</v>
      </c>
      <c r="C62" s="6" t="str">
        <f t="shared" si="0"/>
        <v>Tasty New Jersey</v>
      </c>
      <c r="D62" s="5" t="s">
        <v>137</v>
      </c>
      <c r="E62" s="5">
        <f t="shared" si="1"/>
        <v>0</v>
      </c>
      <c r="F62" s="7">
        <v>49609</v>
      </c>
      <c r="G62" s="5" t="s">
        <v>58</v>
      </c>
      <c r="H62" s="5" t="s">
        <v>214</v>
      </c>
      <c r="I62" s="5">
        <f t="shared" ca="1" si="2"/>
        <v>24</v>
      </c>
      <c r="J62" s="5" t="s">
        <v>139</v>
      </c>
      <c r="K62" s="5" t="s">
        <v>61</v>
      </c>
      <c r="L62" s="7">
        <v>0</v>
      </c>
      <c r="M62" s="7">
        <f>SUM(F62+L62)</f>
        <v>49609</v>
      </c>
      <c r="N62" s="11">
        <f t="shared" si="3"/>
        <v>0</v>
      </c>
      <c r="O62" s="10" t="str">
        <f>_xlfn.XLOOKUP(A62,'Reference Data'!A:A,'Reference Data'!B:B)</f>
        <v>Marketing Assistant</v>
      </c>
      <c r="P62" s="10" t="str">
        <f>_xlfn.XLOOKUP(A62,'Reference Data'!A:A,'Reference Data'!C:C)</f>
        <v>F</v>
      </c>
      <c r="Q62" s="7"/>
    </row>
    <row r="63" spans="1:22" ht="16.5">
      <c r="A63" s="5" t="s">
        <v>215</v>
      </c>
      <c r="B63" s="5" t="s">
        <v>56</v>
      </c>
      <c r="C63" s="6" t="str">
        <f t="shared" si="0"/>
        <v>Tasty New Jersey</v>
      </c>
      <c r="D63" s="5" t="s">
        <v>137</v>
      </c>
      <c r="E63" s="5">
        <f t="shared" si="1"/>
        <v>0</v>
      </c>
      <c r="F63" s="7">
        <v>26116</v>
      </c>
      <c r="G63" s="5" t="s">
        <v>58</v>
      </c>
      <c r="H63" s="5" t="s">
        <v>216</v>
      </c>
      <c r="I63" s="5">
        <f t="shared" ca="1" si="2"/>
        <v>22</v>
      </c>
      <c r="J63" s="5" t="s">
        <v>139</v>
      </c>
      <c r="K63" s="5" t="s">
        <v>61</v>
      </c>
      <c r="L63" s="7">
        <v>0</v>
      </c>
      <c r="M63" s="7">
        <f>SUM(F63+L63)</f>
        <v>26116</v>
      </c>
      <c r="N63" s="11">
        <f t="shared" si="3"/>
        <v>0</v>
      </c>
      <c r="O63" s="10" t="str">
        <f>_xlfn.XLOOKUP(A63,'Reference Data'!A:A,'Reference Data'!B:B)</f>
        <v>Marketing Assistant</v>
      </c>
      <c r="P63" s="10" t="str">
        <f>_xlfn.XLOOKUP(A63,'Reference Data'!A:A,'Reference Data'!C:C)</f>
        <v>F</v>
      </c>
      <c r="Q63" s="7"/>
    </row>
    <row r="64" spans="1:22" ht="16.5">
      <c r="A64" s="5" t="s">
        <v>217</v>
      </c>
      <c r="B64" s="5" t="s">
        <v>56</v>
      </c>
      <c r="C64" s="6" t="str">
        <f t="shared" si="0"/>
        <v>Tasty New Jersey</v>
      </c>
      <c r="D64" s="5" t="s">
        <v>137</v>
      </c>
      <c r="E64" s="5">
        <f t="shared" si="1"/>
        <v>0</v>
      </c>
      <c r="F64" s="7">
        <v>109561</v>
      </c>
      <c r="G64" s="5" t="s">
        <v>58</v>
      </c>
      <c r="H64" s="5" t="s">
        <v>81</v>
      </c>
      <c r="I64" s="5">
        <f t="shared" ca="1" si="2"/>
        <v>21</v>
      </c>
      <c r="J64" s="5" t="s">
        <v>139</v>
      </c>
      <c r="K64" s="5" t="s">
        <v>140</v>
      </c>
      <c r="L64" s="7">
        <v>0</v>
      </c>
      <c r="M64" s="7">
        <f>SUM(F64+L64)</f>
        <v>109561</v>
      </c>
      <c r="N64" s="11">
        <f t="shared" si="3"/>
        <v>0</v>
      </c>
      <c r="O64" s="10" t="str">
        <f>_xlfn.XLOOKUP(A64,'Reference Data'!A:A,'Reference Data'!B:B)</f>
        <v>Marketing Manager</v>
      </c>
      <c r="P64" s="10" t="str">
        <f>_xlfn.XLOOKUP(A64,'Reference Data'!A:A,'Reference Data'!C:C)</f>
        <v>F</v>
      </c>
      <c r="Q64" s="7"/>
    </row>
    <row r="65" spans="1:22" ht="16.5">
      <c r="A65" s="5" t="s">
        <v>218</v>
      </c>
      <c r="B65" s="5" t="s">
        <v>56</v>
      </c>
      <c r="C65" s="6" t="str">
        <f t="shared" si="0"/>
        <v>Tasty New Jersey</v>
      </c>
      <c r="D65" s="5" t="s">
        <v>137</v>
      </c>
      <c r="E65" s="5">
        <f t="shared" si="1"/>
        <v>0</v>
      </c>
      <c r="F65" s="7">
        <v>66402.210000000006</v>
      </c>
      <c r="G65" s="5" t="s">
        <v>58</v>
      </c>
      <c r="H65" s="5" t="s">
        <v>219</v>
      </c>
      <c r="I65" s="5">
        <f t="shared" ca="1" si="2"/>
        <v>42</v>
      </c>
      <c r="J65" s="5" t="s">
        <v>139</v>
      </c>
      <c r="K65" s="5" t="s">
        <v>61</v>
      </c>
      <c r="L65" s="7">
        <v>0</v>
      </c>
      <c r="M65" s="7">
        <f>SUM(F65+L65)</f>
        <v>66402.210000000006</v>
      </c>
      <c r="N65" s="11">
        <f t="shared" si="3"/>
        <v>0</v>
      </c>
      <c r="O65" s="10" t="str">
        <f>_xlfn.XLOOKUP(A65,'Reference Data'!A:A,'Reference Data'!B:B)</f>
        <v>Marketing Senior Assistant</v>
      </c>
      <c r="P65" s="10" t="str">
        <f>_xlfn.XLOOKUP(A65,'Reference Data'!A:A,'Reference Data'!C:C)</f>
        <v>F</v>
      </c>
      <c r="Q65" s="7"/>
    </row>
    <row r="66" spans="1:22" ht="16.5">
      <c r="A66" s="5" t="s">
        <v>220</v>
      </c>
      <c r="B66" s="5" t="s">
        <v>56</v>
      </c>
      <c r="C66" s="6" t="str">
        <f t="shared" ref="C66:C129" si="4">IF(G66="NJ","Tasty New Jersey",B66)</f>
        <v>Tasty New York</v>
      </c>
      <c r="D66" s="5" t="s">
        <v>57</v>
      </c>
      <c r="E66" s="5">
        <f t="shared" ref="E66:E129" si="5">IF(LEFT(D66,5)="Tasty",1,0)</f>
        <v>1</v>
      </c>
      <c r="F66" s="7">
        <v>46210</v>
      </c>
      <c r="G66" s="5" t="s">
        <v>113</v>
      </c>
      <c r="H66" s="5" t="s">
        <v>221</v>
      </c>
      <c r="I66" s="5">
        <f t="shared" ref="I66:I129" ca="1" si="6">YEAR(TODAY())-YEAR(H66)</f>
        <v>13</v>
      </c>
      <c r="J66" s="5" t="s">
        <v>96</v>
      </c>
      <c r="K66" s="5" t="s">
        <v>115</v>
      </c>
      <c r="L66" s="7">
        <v>6932</v>
      </c>
      <c r="M66" s="7">
        <f>SUM(F66+L66)</f>
        <v>53142</v>
      </c>
      <c r="N66" s="11">
        <f t="shared" ref="N66:N129" si="7">L66/M66</f>
        <v>0.13044296413383011</v>
      </c>
      <c r="O66" s="10" t="str">
        <f>_xlfn.XLOOKUP(A66,'Reference Data'!A:A,'Reference Data'!B:B)</f>
        <v>Plant Worker</v>
      </c>
      <c r="P66" s="10" t="str">
        <f>_xlfn.XLOOKUP(A66,'Reference Data'!A:A,'Reference Data'!C:C)</f>
        <v>M</v>
      </c>
      <c r="Q66" s="7"/>
    </row>
    <row r="67" spans="1:22" ht="16.5">
      <c r="A67" s="5" t="s">
        <v>222</v>
      </c>
      <c r="B67" s="5" t="s">
        <v>56</v>
      </c>
      <c r="C67" s="6" t="str">
        <f t="shared" si="4"/>
        <v>Tasty New Jersey</v>
      </c>
      <c r="D67" s="5" t="s">
        <v>129</v>
      </c>
      <c r="E67" s="5">
        <f t="shared" si="5"/>
        <v>1</v>
      </c>
      <c r="F67" s="7">
        <v>163752</v>
      </c>
      <c r="G67" s="5" t="s">
        <v>58</v>
      </c>
      <c r="H67" s="5" t="s">
        <v>223</v>
      </c>
      <c r="I67" s="5">
        <f t="shared" ca="1" si="6"/>
        <v>44</v>
      </c>
      <c r="J67" s="5" t="s">
        <v>143</v>
      </c>
      <c r="K67" s="5" t="s">
        <v>144</v>
      </c>
      <c r="L67" s="7">
        <v>37663</v>
      </c>
      <c r="M67" s="7">
        <f>SUM(F67+L67)</f>
        <v>201415</v>
      </c>
      <c r="N67" s="11">
        <f t="shared" si="7"/>
        <v>0.18699203137800063</v>
      </c>
      <c r="O67" s="10" t="str">
        <f>_xlfn.XLOOKUP(A67,'Reference Data'!A:A,'Reference Data'!B:B)</f>
        <v>Plant Leader</v>
      </c>
      <c r="P67" s="10" t="str">
        <f>_xlfn.XLOOKUP(A67,'Reference Data'!A:A,'Reference Data'!C:C)</f>
        <v>M</v>
      </c>
      <c r="Q67" s="7"/>
      <c r="R67" s="3"/>
      <c r="S67" s="3"/>
      <c r="T67" s="3"/>
      <c r="U67" s="3"/>
      <c r="V67" s="3"/>
    </row>
    <row r="68" spans="1:22" ht="16.5">
      <c r="A68" s="5" t="s">
        <v>224</v>
      </c>
      <c r="B68" s="5" t="s">
        <v>56</v>
      </c>
      <c r="C68" s="6" t="str">
        <f t="shared" si="4"/>
        <v>Tasty New York</v>
      </c>
      <c r="D68" s="5" t="s">
        <v>57</v>
      </c>
      <c r="E68" s="5">
        <f t="shared" si="5"/>
        <v>1</v>
      </c>
      <c r="F68" s="7">
        <v>23914</v>
      </c>
      <c r="G68" s="5" t="s">
        <v>113</v>
      </c>
      <c r="H68" s="5" t="s">
        <v>225</v>
      </c>
      <c r="I68" s="5">
        <f t="shared" ca="1" si="6"/>
        <v>27</v>
      </c>
      <c r="J68" s="5" t="s">
        <v>96</v>
      </c>
      <c r="K68" s="5" t="s">
        <v>115</v>
      </c>
      <c r="L68" s="7">
        <v>0</v>
      </c>
      <c r="M68" s="7">
        <f>SUM(F68+L68)</f>
        <v>23914</v>
      </c>
      <c r="N68" s="11">
        <f t="shared" si="7"/>
        <v>0</v>
      </c>
      <c r="O68" s="10" t="str">
        <f>_xlfn.XLOOKUP(A68,'Reference Data'!A:A,'Reference Data'!B:B)</f>
        <v>Administrative Support</v>
      </c>
      <c r="P68" s="10" t="str">
        <f>_xlfn.XLOOKUP(A68,'Reference Data'!A:A,'Reference Data'!C:C)</f>
        <v>F</v>
      </c>
      <c r="Q68" s="7"/>
      <c r="R68" s="3"/>
      <c r="S68" s="3"/>
      <c r="T68" s="3"/>
      <c r="U68" s="3"/>
      <c r="V68" s="3"/>
    </row>
    <row r="69" spans="1:22" ht="16.5">
      <c r="A69" s="5" t="s">
        <v>226</v>
      </c>
      <c r="B69" s="5" t="s">
        <v>56</v>
      </c>
      <c r="C69" s="6" t="str">
        <f t="shared" si="4"/>
        <v>Tasty New Jersey</v>
      </c>
      <c r="D69" s="5" t="s">
        <v>57</v>
      </c>
      <c r="E69" s="5">
        <f t="shared" si="5"/>
        <v>1</v>
      </c>
      <c r="F69" s="7">
        <v>141690</v>
      </c>
      <c r="G69" s="5" t="s">
        <v>58</v>
      </c>
      <c r="H69" s="5" t="s">
        <v>81</v>
      </c>
      <c r="I69" s="5">
        <f t="shared" ca="1" si="6"/>
        <v>21</v>
      </c>
      <c r="J69" s="5" t="s">
        <v>227</v>
      </c>
      <c r="K69" s="5" t="s">
        <v>61</v>
      </c>
      <c r="L69" s="7">
        <v>68092</v>
      </c>
      <c r="M69" s="7">
        <f>SUM(F69+L69)</f>
        <v>209782</v>
      </c>
      <c r="N69" s="11">
        <f t="shared" si="7"/>
        <v>0.32458456874279012</v>
      </c>
      <c r="O69" s="10" t="str">
        <f>_xlfn.XLOOKUP(A69,'Reference Data'!A:A,'Reference Data'!B:B)</f>
        <v>Plant Leader</v>
      </c>
      <c r="P69" s="10" t="str">
        <f>_xlfn.XLOOKUP(A69,'Reference Data'!A:A,'Reference Data'!C:C)</f>
        <v>M</v>
      </c>
      <c r="Q69" s="7"/>
    </row>
    <row r="70" spans="1:22" ht="16.5">
      <c r="A70" s="5" t="s">
        <v>228</v>
      </c>
      <c r="B70" s="5" t="s">
        <v>56</v>
      </c>
      <c r="C70" s="6" t="str">
        <f t="shared" si="4"/>
        <v>Tasty New York</v>
      </c>
      <c r="D70" s="5" t="s">
        <v>57</v>
      </c>
      <c r="E70" s="5">
        <f t="shared" si="5"/>
        <v>1</v>
      </c>
      <c r="F70" s="7">
        <v>47927</v>
      </c>
      <c r="G70" s="5" t="s">
        <v>113</v>
      </c>
      <c r="H70" s="5" t="s">
        <v>229</v>
      </c>
      <c r="I70" s="5">
        <f t="shared" ca="1" si="6"/>
        <v>28</v>
      </c>
      <c r="J70" s="5" t="s">
        <v>87</v>
      </c>
      <c r="K70" s="5" t="s">
        <v>115</v>
      </c>
      <c r="L70" s="7">
        <v>5751</v>
      </c>
      <c r="M70" s="7">
        <f>SUM(F70+L70)</f>
        <v>53678</v>
      </c>
      <c r="N70" s="11">
        <f t="shared" si="7"/>
        <v>0.10713886508439212</v>
      </c>
      <c r="O70" s="10" t="str">
        <f>_xlfn.XLOOKUP(A70,'Reference Data'!A:A,'Reference Data'!B:B)</f>
        <v>Plant Worker</v>
      </c>
      <c r="P70" s="10" t="str">
        <f>_xlfn.XLOOKUP(A70,'Reference Data'!A:A,'Reference Data'!C:C)</f>
        <v>M</v>
      </c>
      <c r="Q70" s="7"/>
      <c r="R70" s="3"/>
      <c r="S70" s="3"/>
      <c r="T70" s="3"/>
      <c r="U70" s="3"/>
      <c r="V70" s="3"/>
    </row>
    <row r="71" spans="1:22" ht="16.5">
      <c r="A71" s="5" t="s">
        <v>230</v>
      </c>
      <c r="B71" s="5" t="s">
        <v>56</v>
      </c>
      <c r="C71" s="6" t="str">
        <f t="shared" si="4"/>
        <v>Tasty New Jersey</v>
      </c>
      <c r="D71" s="5" t="s">
        <v>69</v>
      </c>
      <c r="E71" s="5">
        <f t="shared" si="5"/>
        <v>1</v>
      </c>
      <c r="F71" s="7">
        <v>53089</v>
      </c>
      <c r="G71" s="5" t="s">
        <v>58</v>
      </c>
      <c r="H71" s="5" t="s">
        <v>231</v>
      </c>
      <c r="I71" s="5">
        <f t="shared" ca="1" si="6"/>
        <v>29</v>
      </c>
      <c r="J71" s="5" t="s">
        <v>71</v>
      </c>
      <c r="K71" s="5" t="s">
        <v>61</v>
      </c>
      <c r="L71" s="7">
        <v>12210</v>
      </c>
      <c r="M71" s="7">
        <f>SUM(F71+L71)</f>
        <v>65299</v>
      </c>
      <c r="N71" s="11">
        <f t="shared" si="7"/>
        <v>0.18698601816260585</v>
      </c>
      <c r="O71" s="10" t="str">
        <f>_xlfn.XLOOKUP(A71,'Reference Data'!A:A,'Reference Data'!B:B)</f>
        <v>Plant Manager</v>
      </c>
      <c r="P71" s="10" t="str">
        <f>_xlfn.XLOOKUP(A71,'Reference Data'!A:A,'Reference Data'!C:C)</f>
        <v>M</v>
      </c>
      <c r="Q71" s="7"/>
      <c r="R71" s="3"/>
      <c r="S71" s="3"/>
      <c r="T71" s="3"/>
      <c r="U71" s="3"/>
      <c r="V71" s="3"/>
    </row>
    <row r="72" spans="1:22" ht="16.5">
      <c r="A72" s="5" t="s">
        <v>232</v>
      </c>
      <c r="B72" s="5" t="s">
        <v>56</v>
      </c>
      <c r="C72" s="6" t="str">
        <f t="shared" si="4"/>
        <v>Tasty New York</v>
      </c>
      <c r="D72" s="5" t="s">
        <v>129</v>
      </c>
      <c r="E72" s="5">
        <f t="shared" si="5"/>
        <v>1</v>
      </c>
      <c r="F72" s="7">
        <v>110844</v>
      </c>
      <c r="G72" s="5" t="s">
        <v>77</v>
      </c>
      <c r="H72" s="5" t="s">
        <v>233</v>
      </c>
      <c r="I72" s="5">
        <f t="shared" ca="1" si="6"/>
        <v>47</v>
      </c>
      <c r="J72" s="5" t="s">
        <v>131</v>
      </c>
      <c r="K72" s="5" t="s">
        <v>61</v>
      </c>
      <c r="L72" s="7">
        <v>8868</v>
      </c>
      <c r="M72" s="7">
        <f>SUM(F72+L72)</f>
        <v>119712</v>
      </c>
      <c r="N72" s="11">
        <f t="shared" si="7"/>
        <v>7.4077786688051317E-2</v>
      </c>
      <c r="O72" s="10" t="str">
        <f>_xlfn.XLOOKUP(A72,'Reference Data'!A:A,'Reference Data'!B:B)</f>
        <v>Plant Manager</v>
      </c>
      <c r="P72" s="10" t="str">
        <f>_xlfn.XLOOKUP(A72,'Reference Data'!A:A,'Reference Data'!C:C)</f>
        <v>F</v>
      </c>
      <c r="Q72" s="7"/>
      <c r="R72" s="3"/>
      <c r="S72" s="3"/>
      <c r="T72" s="3"/>
      <c r="U72" s="3"/>
      <c r="V72" s="3"/>
    </row>
    <row r="73" spans="1:22" ht="16.5">
      <c r="A73" s="5" t="s">
        <v>234</v>
      </c>
      <c r="B73" s="5" t="s">
        <v>56</v>
      </c>
      <c r="C73" s="6" t="str">
        <f t="shared" si="4"/>
        <v>Tasty New York</v>
      </c>
      <c r="D73" s="5" t="s">
        <v>57</v>
      </c>
      <c r="E73" s="5">
        <f t="shared" si="5"/>
        <v>1</v>
      </c>
      <c r="F73" s="7">
        <v>150986</v>
      </c>
      <c r="G73" s="5" t="s">
        <v>64</v>
      </c>
      <c r="H73" s="5" t="s">
        <v>235</v>
      </c>
      <c r="I73" s="5">
        <f t="shared" ca="1" si="6"/>
        <v>38</v>
      </c>
      <c r="J73" s="5" t="s">
        <v>96</v>
      </c>
      <c r="K73" s="5" t="s">
        <v>67</v>
      </c>
      <c r="L73" s="7">
        <v>0</v>
      </c>
      <c r="M73" s="7">
        <f>SUM(F73+L73)</f>
        <v>150986</v>
      </c>
      <c r="N73" s="11">
        <f t="shared" si="7"/>
        <v>0</v>
      </c>
      <c r="O73" s="10" t="str">
        <f>_xlfn.XLOOKUP(A73,'Reference Data'!A:A,'Reference Data'!B:B)</f>
        <v>Director</v>
      </c>
      <c r="P73" s="10" t="str">
        <f>_xlfn.XLOOKUP(A73,'Reference Data'!A:A,'Reference Data'!C:C)</f>
        <v>M</v>
      </c>
      <c r="Q73" s="7"/>
      <c r="R73" s="3"/>
      <c r="S73" s="3"/>
      <c r="T73" s="3"/>
      <c r="U73" s="3"/>
      <c r="V73" s="3"/>
    </row>
    <row r="74" spans="1:22" ht="16.5">
      <c r="A74" s="5" t="s">
        <v>236</v>
      </c>
      <c r="B74" s="5" t="s">
        <v>56</v>
      </c>
      <c r="C74" s="6" t="str">
        <f t="shared" si="4"/>
        <v>Tasty New York</v>
      </c>
      <c r="D74" s="5" t="s">
        <v>129</v>
      </c>
      <c r="E74" s="5">
        <f t="shared" si="5"/>
        <v>1</v>
      </c>
      <c r="F74" s="7">
        <v>20193</v>
      </c>
      <c r="G74" s="5" t="s">
        <v>64</v>
      </c>
      <c r="H74" s="5" t="s">
        <v>148</v>
      </c>
      <c r="I74" s="5">
        <f t="shared" ca="1" si="6"/>
        <v>29</v>
      </c>
      <c r="J74" s="5" t="s">
        <v>131</v>
      </c>
      <c r="K74" s="5" t="s">
        <v>132</v>
      </c>
      <c r="L74" s="7">
        <v>0</v>
      </c>
      <c r="M74" s="7">
        <f>SUM(F74+L74)</f>
        <v>20193</v>
      </c>
      <c r="N74" s="11">
        <f t="shared" si="7"/>
        <v>0</v>
      </c>
      <c r="O74" s="10" t="str">
        <f>_xlfn.XLOOKUP(A74,'Reference Data'!A:A,'Reference Data'!B:B)</f>
        <v>Administrative Support</v>
      </c>
      <c r="P74" s="10" t="str">
        <f>_xlfn.XLOOKUP(A74,'Reference Data'!A:A,'Reference Data'!C:C)</f>
        <v>F</v>
      </c>
      <c r="Q74" s="7"/>
    </row>
    <row r="75" spans="1:22" ht="16.5">
      <c r="A75" s="5" t="s">
        <v>237</v>
      </c>
      <c r="B75" s="5" t="s">
        <v>56</v>
      </c>
      <c r="C75" s="6" t="str">
        <f t="shared" si="4"/>
        <v>Tasty New Jersey</v>
      </c>
      <c r="D75" s="5" t="s">
        <v>69</v>
      </c>
      <c r="E75" s="5">
        <f t="shared" si="5"/>
        <v>1</v>
      </c>
      <c r="F75" s="7">
        <v>53062</v>
      </c>
      <c r="G75" s="5" t="s">
        <v>58</v>
      </c>
      <c r="H75" s="5" t="s">
        <v>238</v>
      </c>
      <c r="I75" s="5">
        <f t="shared" ca="1" si="6"/>
        <v>28</v>
      </c>
      <c r="J75" s="5" t="s">
        <v>156</v>
      </c>
      <c r="K75" s="5" t="s">
        <v>61</v>
      </c>
      <c r="L75" s="7">
        <v>14857</v>
      </c>
      <c r="M75" s="7">
        <f>SUM(F75+L75)</f>
        <v>67919</v>
      </c>
      <c r="N75" s="11">
        <f t="shared" si="7"/>
        <v>0.2187458590379717</v>
      </c>
      <c r="O75" s="10" t="str">
        <f>_xlfn.XLOOKUP(A75,'Reference Data'!A:A,'Reference Data'!B:B)</f>
        <v>Plant Manager</v>
      </c>
      <c r="P75" s="10" t="str">
        <f>_xlfn.XLOOKUP(A75,'Reference Data'!A:A,'Reference Data'!C:C)</f>
        <v>M</v>
      </c>
      <c r="Q75" s="7"/>
    </row>
    <row r="76" spans="1:22" ht="16.5">
      <c r="A76" s="5" t="s">
        <v>239</v>
      </c>
      <c r="B76" s="5" t="s">
        <v>56</v>
      </c>
      <c r="C76" s="6" t="str">
        <f t="shared" si="4"/>
        <v>Tasty New Jersey</v>
      </c>
      <c r="D76" s="5" t="s">
        <v>69</v>
      </c>
      <c r="E76" s="5">
        <f t="shared" si="5"/>
        <v>1</v>
      </c>
      <c r="F76" s="7">
        <v>59002</v>
      </c>
      <c r="G76" s="5" t="s">
        <v>58</v>
      </c>
      <c r="H76" s="5" t="s">
        <v>240</v>
      </c>
      <c r="I76" s="5">
        <f t="shared" ca="1" si="6"/>
        <v>26</v>
      </c>
      <c r="J76" s="5" t="s">
        <v>71</v>
      </c>
      <c r="K76" s="5" t="s">
        <v>144</v>
      </c>
      <c r="L76" s="7">
        <v>15341</v>
      </c>
      <c r="M76" s="7">
        <f>SUM(F76+L76)</f>
        <v>74343</v>
      </c>
      <c r="N76" s="11">
        <f t="shared" si="7"/>
        <v>0.20635433060274672</v>
      </c>
      <c r="O76" s="10" t="str">
        <f>_xlfn.XLOOKUP(A76,'Reference Data'!A:A,'Reference Data'!B:B)</f>
        <v>Plant Manager</v>
      </c>
      <c r="P76" s="10" t="str">
        <f>_xlfn.XLOOKUP(A76,'Reference Data'!A:A,'Reference Data'!C:C)</f>
        <v>F</v>
      </c>
      <c r="Q76" s="7"/>
      <c r="R76" s="3"/>
      <c r="S76" s="3"/>
      <c r="T76" s="3"/>
      <c r="U76" s="3"/>
      <c r="V76" s="3"/>
    </row>
    <row r="77" spans="1:22" ht="16.5">
      <c r="A77" s="5" t="s">
        <v>241</v>
      </c>
      <c r="B77" s="5" t="s">
        <v>56</v>
      </c>
      <c r="C77" s="6" t="str">
        <f t="shared" si="4"/>
        <v>Tasty New Jersey</v>
      </c>
      <c r="D77" s="5" t="s">
        <v>69</v>
      </c>
      <c r="E77" s="5">
        <f t="shared" si="5"/>
        <v>1</v>
      </c>
      <c r="F77" s="7">
        <v>89732</v>
      </c>
      <c r="G77" s="5" t="s">
        <v>58</v>
      </c>
      <c r="H77" s="5" t="s">
        <v>242</v>
      </c>
      <c r="I77" s="5">
        <f t="shared" ca="1" si="6"/>
        <v>24</v>
      </c>
      <c r="J77" s="5" t="s">
        <v>71</v>
      </c>
      <c r="K77" s="5" t="s">
        <v>61</v>
      </c>
      <c r="L77" s="7">
        <v>21536</v>
      </c>
      <c r="M77" s="7">
        <f>SUM(F77+L77)</f>
        <v>111268</v>
      </c>
      <c r="N77" s="11">
        <f t="shared" si="7"/>
        <v>0.19355070640255959</v>
      </c>
      <c r="O77" s="10" t="str">
        <f>_xlfn.XLOOKUP(A77,'Reference Data'!A:A,'Reference Data'!B:B)</f>
        <v>Plant Manager</v>
      </c>
      <c r="P77" s="10" t="str">
        <f>_xlfn.XLOOKUP(A77,'Reference Data'!A:A,'Reference Data'!C:C)</f>
        <v>F</v>
      </c>
      <c r="Q77" s="7"/>
      <c r="R77" s="3"/>
      <c r="S77" s="3"/>
      <c r="T77" s="3"/>
      <c r="U77" s="3"/>
      <c r="V77" s="3"/>
    </row>
    <row r="78" spans="1:22" ht="16.5">
      <c r="A78" s="5" t="s">
        <v>243</v>
      </c>
      <c r="B78" s="5" t="s">
        <v>56</v>
      </c>
      <c r="C78" s="6" t="str">
        <f t="shared" si="4"/>
        <v>Tasty New Jersey</v>
      </c>
      <c r="D78" s="5" t="s">
        <v>69</v>
      </c>
      <c r="E78" s="5">
        <f t="shared" si="5"/>
        <v>1</v>
      </c>
      <c r="F78" s="7">
        <v>74297</v>
      </c>
      <c r="G78" s="5" t="s">
        <v>58</v>
      </c>
      <c r="H78" s="5" t="s">
        <v>244</v>
      </c>
      <c r="I78" s="5">
        <f t="shared" ca="1" si="6"/>
        <v>21</v>
      </c>
      <c r="J78" s="5" t="s">
        <v>71</v>
      </c>
      <c r="K78" s="5" t="s">
        <v>61</v>
      </c>
      <c r="L78" s="7">
        <v>23032</v>
      </c>
      <c r="M78" s="7">
        <f>SUM(F78+L78)</f>
        <v>97329</v>
      </c>
      <c r="N78" s="11">
        <f t="shared" si="7"/>
        <v>0.2366406723587009</v>
      </c>
      <c r="O78" s="10" t="str">
        <f>_xlfn.XLOOKUP(A78,'Reference Data'!A:A,'Reference Data'!B:B)</f>
        <v>Plant Manager</v>
      </c>
      <c r="P78" s="10" t="str">
        <f>_xlfn.XLOOKUP(A78,'Reference Data'!A:A,'Reference Data'!C:C)</f>
        <v>F</v>
      </c>
      <c r="Q78" s="7"/>
      <c r="R78" s="3"/>
      <c r="S78" s="3"/>
      <c r="T78" s="3"/>
      <c r="U78" s="3"/>
      <c r="V78" s="3"/>
    </row>
    <row r="79" spans="1:22" ht="16.5">
      <c r="A79" s="5" t="s">
        <v>245</v>
      </c>
      <c r="B79" s="5" t="s">
        <v>56</v>
      </c>
      <c r="C79" s="6" t="str">
        <f t="shared" si="4"/>
        <v>Tasty New Jersey</v>
      </c>
      <c r="D79" s="5" t="s">
        <v>69</v>
      </c>
      <c r="E79" s="5">
        <f t="shared" si="5"/>
        <v>1</v>
      </c>
      <c r="F79" s="7">
        <v>70209</v>
      </c>
      <c r="G79" s="5" t="s">
        <v>58</v>
      </c>
      <c r="H79" s="5" t="s">
        <v>246</v>
      </c>
      <c r="I79" s="5">
        <f t="shared" ca="1" si="6"/>
        <v>21</v>
      </c>
      <c r="J79" s="5" t="s">
        <v>71</v>
      </c>
      <c r="K79" s="5" t="s">
        <v>144</v>
      </c>
      <c r="L79" s="7">
        <v>19659</v>
      </c>
      <c r="M79" s="7">
        <f>SUM(F79+L79)</f>
        <v>89868</v>
      </c>
      <c r="N79" s="11">
        <f t="shared" si="7"/>
        <v>0.21875417278675391</v>
      </c>
      <c r="O79" s="10" t="str">
        <f>_xlfn.XLOOKUP(A79,'Reference Data'!A:A,'Reference Data'!B:B)</f>
        <v>Plant Manager</v>
      </c>
      <c r="P79" s="10" t="str">
        <f>_xlfn.XLOOKUP(A79,'Reference Data'!A:A,'Reference Data'!C:C)</f>
        <v>F</v>
      </c>
      <c r="Q79" s="7"/>
      <c r="R79" s="3"/>
      <c r="S79" s="3"/>
      <c r="T79" s="3"/>
      <c r="U79" s="3"/>
      <c r="V79" s="3"/>
    </row>
    <row r="80" spans="1:22" ht="16.5">
      <c r="A80" s="5" t="s">
        <v>247</v>
      </c>
      <c r="B80" s="5" t="s">
        <v>56</v>
      </c>
      <c r="C80" s="6" t="str">
        <f t="shared" si="4"/>
        <v>Tasty New Jersey</v>
      </c>
      <c r="D80" s="5" t="s">
        <v>69</v>
      </c>
      <c r="E80" s="5">
        <f t="shared" si="5"/>
        <v>1</v>
      </c>
      <c r="F80" s="7">
        <v>53666</v>
      </c>
      <c r="G80" s="5" t="s">
        <v>58</v>
      </c>
      <c r="H80" s="5" t="s">
        <v>248</v>
      </c>
      <c r="I80" s="5">
        <f t="shared" ca="1" si="6"/>
        <v>20</v>
      </c>
      <c r="J80" s="5" t="s">
        <v>156</v>
      </c>
      <c r="K80" s="5" t="s">
        <v>61</v>
      </c>
      <c r="L80" s="7">
        <v>13417</v>
      </c>
      <c r="M80" s="7">
        <f>SUM(F80+L80)</f>
        <v>67083</v>
      </c>
      <c r="N80" s="11">
        <f t="shared" si="7"/>
        <v>0.2000059627625479</v>
      </c>
      <c r="O80" s="10" t="str">
        <f>_xlfn.XLOOKUP(A80,'Reference Data'!A:A,'Reference Data'!B:B)</f>
        <v>Plant Manager</v>
      </c>
      <c r="P80" s="10" t="str">
        <f>_xlfn.XLOOKUP(A80,'Reference Data'!A:A,'Reference Data'!C:C)</f>
        <v>M</v>
      </c>
      <c r="Q80" s="7"/>
      <c r="R80" s="3"/>
      <c r="S80" s="3"/>
      <c r="T80" s="3"/>
      <c r="U80" s="3"/>
      <c r="V80" s="3"/>
    </row>
    <row r="81" spans="1:22" ht="16.5">
      <c r="A81" s="5" t="s">
        <v>249</v>
      </c>
      <c r="B81" s="5" t="s">
        <v>56</v>
      </c>
      <c r="C81" s="6" t="str">
        <f t="shared" si="4"/>
        <v>Tasty New York</v>
      </c>
      <c r="D81" s="5" t="s">
        <v>57</v>
      </c>
      <c r="E81" s="5">
        <f t="shared" si="5"/>
        <v>1</v>
      </c>
      <c r="F81" s="7">
        <v>130646</v>
      </c>
      <c r="G81" s="5" t="s">
        <v>64</v>
      </c>
      <c r="H81" s="5" t="s">
        <v>250</v>
      </c>
      <c r="I81" s="5">
        <f t="shared" ca="1" si="6"/>
        <v>45</v>
      </c>
      <c r="J81" s="5" t="s">
        <v>251</v>
      </c>
      <c r="K81" s="5" t="s">
        <v>140</v>
      </c>
      <c r="L81" s="7">
        <v>19597</v>
      </c>
      <c r="M81" s="7">
        <f>SUM(F81+L81)</f>
        <v>150243</v>
      </c>
      <c r="N81" s="11">
        <f t="shared" si="7"/>
        <v>0.13043536138122908</v>
      </c>
      <c r="O81" s="10" t="str">
        <f>_xlfn.XLOOKUP(A81,'Reference Data'!A:A,'Reference Data'!B:B)</f>
        <v>Plant Manager</v>
      </c>
      <c r="P81" s="10" t="str">
        <f>_xlfn.XLOOKUP(A81,'Reference Data'!A:A,'Reference Data'!C:C)</f>
        <v>F</v>
      </c>
      <c r="Q81" s="7"/>
      <c r="R81" s="3"/>
      <c r="S81" s="3"/>
      <c r="T81" s="3"/>
      <c r="U81" s="3"/>
      <c r="V81" s="3"/>
    </row>
    <row r="82" spans="1:22" ht="16.5">
      <c r="A82" s="5" t="s">
        <v>252</v>
      </c>
      <c r="B82" s="5" t="s">
        <v>56</v>
      </c>
      <c r="C82" s="6" t="str">
        <f t="shared" si="4"/>
        <v>Tasty New Jersey</v>
      </c>
      <c r="D82" s="5" t="s">
        <v>69</v>
      </c>
      <c r="E82" s="5">
        <f t="shared" si="5"/>
        <v>1</v>
      </c>
      <c r="F82" s="7">
        <v>54424</v>
      </c>
      <c r="G82" s="5" t="s">
        <v>58</v>
      </c>
      <c r="H82" s="5" t="s">
        <v>253</v>
      </c>
      <c r="I82" s="5">
        <f t="shared" ca="1" si="6"/>
        <v>19</v>
      </c>
      <c r="J82" s="5" t="s">
        <v>71</v>
      </c>
      <c r="K82" s="5" t="s">
        <v>61</v>
      </c>
      <c r="L82" s="7">
        <v>10885</v>
      </c>
      <c r="M82" s="7">
        <f>SUM(F82+L82)</f>
        <v>65309</v>
      </c>
      <c r="N82" s="11">
        <f t="shared" si="7"/>
        <v>0.1666692186375538</v>
      </c>
      <c r="O82" s="10" t="str">
        <f>_xlfn.XLOOKUP(A82,'Reference Data'!A:A,'Reference Data'!B:B)</f>
        <v>Plant Manager</v>
      </c>
      <c r="P82" s="10" t="str">
        <f>_xlfn.XLOOKUP(A82,'Reference Data'!A:A,'Reference Data'!C:C)</f>
        <v>M</v>
      </c>
      <c r="Q82" s="7"/>
      <c r="R82" s="3"/>
      <c r="S82" s="3"/>
      <c r="T82" s="3"/>
      <c r="U82" s="3"/>
      <c r="V82" s="3"/>
    </row>
    <row r="83" spans="1:22" ht="16.5">
      <c r="A83" s="5" t="s">
        <v>254</v>
      </c>
      <c r="B83" s="5" t="s">
        <v>56</v>
      </c>
      <c r="C83" s="6" t="str">
        <f t="shared" si="4"/>
        <v>Tasty New York</v>
      </c>
      <c r="D83" s="5" t="s">
        <v>57</v>
      </c>
      <c r="E83" s="5">
        <f t="shared" si="5"/>
        <v>1</v>
      </c>
      <c r="F83" s="7">
        <v>46318</v>
      </c>
      <c r="G83" s="5" t="s">
        <v>64</v>
      </c>
      <c r="H83" s="5" t="s">
        <v>255</v>
      </c>
      <c r="I83" s="5">
        <f t="shared" ca="1" si="6"/>
        <v>27</v>
      </c>
      <c r="J83" s="5" t="s">
        <v>251</v>
      </c>
      <c r="K83" s="5" t="s">
        <v>140</v>
      </c>
      <c r="L83" s="7">
        <v>6948</v>
      </c>
      <c r="M83" s="7">
        <f>SUM(F83+L83)</f>
        <v>53266</v>
      </c>
      <c r="N83" s="11">
        <f t="shared" si="7"/>
        <v>0.13043968009612136</v>
      </c>
      <c r="O83" s="10" t="str">
        <f>_xlfn.XLOOKUP(A83,'Reference Data'!A:A,'Reference Data'!B:B)</f>
        <v>Plant Worker</v>
      </c>
      <c r="P83" s="10" t="str">
        <f>_xlfn.XLOOKUP(A83,'Reference Data'!A:A,'Reference Data'!C:C)</f>
        <v>M</v>
      </c>
      <c r="Q83" s="7"/>
      <c r="R83" s="3"/>
      <c r="S83" s="3"/>
      <c r="T83" s="3"/>
      <c r="U83" s="3"/>
      <c r="V83" s="3"/>
    </row>
    <row r="84" spans="1:22" ht="16.5">
      <c r="A84" s="5" t="s">
        <v>256</v>
      </c>
      <c r="B84" s="5" t="s">
        <v>56</v>
      </c>
      <c r="C84" s="6" t="str">
        <f t="shared" si="4"/>
        <v>Tasty New York</v>
      </c>
      <c r="D84" s="5" t="s">
        <v>57</v>
      </c>
      <c r="E84" s="5">
        <f t="shared" si="5"/>
        <v>1</v>
      </c>
      <c r="F84" s="7">
        <v>148824</v>
      </c>
      <c r="G84" s="5" t="s">
        <v>77</v>
      </c>
      <c r="H84" s="5" t="s">
        <v>257</v>
      </c>
      <c r="I84" s="5">
        <f t="shared" ca="1" si="6"/>
        <v>33</v>
      </c>
      <c r="J84" s="5" t="s">
        <v>251</v>
      </c>
      <c r="K84" s="5" t="s">
        <v>79</v>
      </c>
      <c r="L84" s="7">
        <v>11906</v>
      </c>
      <c r="M84" s="7">
        <f>SUM(F84+L84)</f>
        <v>160730</v>
      </c>
      <c r="N84" s="11">
        <f t="shared" si="7"/>
        <v>7.4074534934361974E-2</v>
      </c>
      <c r="O84" s="10" t="str">
        <f>_xlfn.XLOOKUP(A84,'Reference Data'!A:A,'Reference Data'!B:B)</f>
        <v>Plant Leader</v>
      </c>
      <c r="P84" s="10" t="str">
        <f>_xlfn.XLOOKUP(A84,'Reference Data'!A:A,'Reference Data'!C:C)</f>
        <v>F</v>
      </c>
      <c r="Q84" s="7"/>
      <c r="R84" s="3"/>
      <c r="S84" s="3"/>
      <c r="T84" s="3"/>
      <c r="U84" s="3"/>
      <c r="V84" s="3"/>
    </row>
    <row r="85" spans="1:22" ht="16.5">
      <c r="A85" s="5" t="s">
        <v>258</v>
      </c>
      <c r="B85" s="5" t="s">
        <v>56</v>
      </c>
      <c r="C85" s="6" t="str">
        <f t="shared" si="4"/>
        <v>Tasty New Jersey</v>
      </c>
      <c r="D85" s="5" t="s">
        <v>69</v>
      </c>
      <c r="E85" s="5">
        <f t="shared" si="5"/>
        <v>1</v>
      </c>
      <c r="F85" s="7">
        <v>67980</v>
      </c>
      <c r="G85" s="5" t="s">
        <v>58</v>
      </c>
      <c r="H85" s="5" t="s">
        <v>259</v>
      </c>
      <c r="I85" s="5">
        <f t="shared" ca="1" si="6"/>
        <v>23</v>
      </c>
      <c r="J85" s="5" t="s">
        <v>71</v>
      </c>
      <c r="K85" s="5" t="s">
        <v>260</v>
      </c>
      <c r="L85" s="7">
        <v>12236</v>
      </c>
      <c r="M85" s="7">
        <f>SUM(F85+L85)</f>
        <v>80216</v>
      </c>
      <c r="N85" s="11">
        <f t="shared" si="7"/>
        <v>0.15253814700309165</v>
      </c>
      <c r="O85" s="10" t="str">
        <f>_xlfn.XLOOKUP(A85,'Reference Data'!A:A,'Reference Data'!B:B)</f>
        <v>Plant Manager</v>
      </c>
      <c r="P85" s="10" t="str">
        <f>_xlfn.XLOOKUP(A85,'Reference Data'!A:A,'Reference Data'!C:C)</f>
        <v>M</v>
      </c>
      <c r="Q85" s="7"/>
      <c r="R85" s="3"/>
      <c r="S85" s="3"/>
      <c r="T85" s="3"/>
      <c r="U85" s="3"/>
      <c r="V85" s="3"/>
    </row>
    <row r="86" spans="1:22" ht="16.5">
      <c r="A86" s="5" t="s">
        <v>261</v>
      </c>
      <c r="B86" s="5" t="s">
        <v>56</v>
      </c>
      <c r="C86" s="6" t="str">
        <f t="shared" si="4"/>
        <v>Tasty New York</v>
      </c>
      <c r="D86" s="5" t="s">
        <v>102</v>
      </c>
      <c r="E86" s="5">
        <f t="shared" si="5"/>
        <v>1</v>
      </c>
      <c r="F86" s="7">
        <v>112671</v>
      </c>
      <c r="G86" s="5" t="s">
        <v>77</v>
      </c>
      <c r="H86" s="5" t="s">
        <v>240</v>
      </c>
      <c r="I86" s="5">
        <f t="shared" ca="1" si="6"/>
        <v>26</v>
      </c>
      <c r="J86" s="5" t="s">
        <v>96</v>
      </c>
      <c r="K86" s="5" t="s">
        <v>135</v>
      </c>
      <c r="L86" s="7">
        <v>20281</v>
      </c>
      <c r="M86" s="7">
        <f>SUM(F86+L86)</f>
        <v>132952</v>
      </c>
      <c r="N86" s="11">
        <f t="shared" si="7"/>
        <v>0.15254377519706361</v>
      </c>
      <c r="O86" s="10" t="str">
        <f>_xlfn.XLOOKUP(A86,'Reference Data'!A:A,'Reference Data'!B:B)</f>
        <v>Plant Manager</v>
      </c>
      <c r="P86" s="10" t="str">
        <f>_xlfn.XLOOKUP(A86,'Reference Data'!A:A,'Reference Data'!C:C)</f>
        <v>F</v>
      </c>
      <c r="Q86" s="7"/>
      <c r="R86" s="3"/>
      <c r="S86" s="3"/>
      <c r="T86" s="3"/>
      <c r="U86" s="3"/>
      <c r="V86" s="3"/>
    </row>
    <row r="87" spans="1:22" ht="16.5">
      <c r="A87" s="5" t="s">
        <v>262</v>
      </c>
      <c r="B87" s="5" t="s">
        <v>56</v>
      </c>
      <c r="C87" s="6" t="str">
        <f t="shared" si="4"/>
        <v>Tasty New Jersey</v>
      </c>
      <c r="D87" s="5" t="s">
        <v>69</v>
      </c>
      <c r="E87" s="5">
        <f t="shared" si="5"/>
        <v>1</v>
      </c>
      <c r="F87" s="7">
        <v>49462</v>
      </c>
      <c r="G87" s="5" t="s">
        <v>58</v>
      </c>
      <c r="H87" s="5" t="s">
        <v>263</v>
      </c>
      <c r="I87" s="5">
        <f t="shared" ca="1" si="6"/>
        <v>40</v>
      </c>
      <c r="J87" s="5" t="s">
        <v>71</v>
      </c>
      <c r="K87" s="5" t="s">
        <v>72</v>
      </c>
      <c r="L87" s="7">
        <v>11376</v>
      </c>
      <c r="M87" s="7">
        <f>SUM(F87+L87)</f>
        <v>60838</v>
      </c>
      <c r="N87" s="11">
        <f t="shared" si="7"/>
        <v>0.18698839541076301</v>
      </c>
      <c r="O87" s="10" t="str">
        <f>_xlfn.XLOOKUP(A87,'Reference Data'!A:A,'Reference Data'!B:B)</f>
        <v>Plant Supervisor</v>
      </c>
      <c r="P87" s="10" t="str">
        <f>_xlfn.XLOOKUP(A87,'Reference Data'!A:A,'Reference Data'!C:C)</f>
        <v>F</v>
      </c>
      <c r="Q87" s="7"/>
      <c r="R87" s="3"/>
      <c r="S87" s="3"/>
      <c r="T87" s="3"/>
      <c r="U87" s="3"/>
      <c r="V87" s="3"/>
    </row>
    <row r="88" spans="1:22" ht="16.5">
      <c r="A88" s="5" t="s">
        <v>264</v>
      </c>
      <c r="B88" s="5" t="s">
        <v>56</v>
      </c>
      <c r="C88" s="6" t="str">
        <f t="shared" si="4"/>
        <v>Tasty New York</v>
      </c>
      <c r="D88" s="5" t="s">
        <v>57</v>
      </c>
      <c r="E88" s="5">
        <f t="shared" si="5"/>
        <v>1</v>
      </c>
      <c r="F88" s="7">
        <v>20717</v>
      </c>
      <c r="G88" s="5" t="s">
        <v>113</v>
      </c>
      <c r="H88" s="5" t="s">
        <v>265</v>
      </c>
      <c r="I88" s="5">
        <f t="shared" ca="1" si="6"/>
        <v>26</v>
      </c>
      <c r="J88" s="5" t="s">
        <v>96</v>
      </c>
      <c r="K88" s="5" t="s">
        <v>115</v>
      </c>
      <c r="L88" s="7">
        <v>0</v>
      </c>
      <c r="M88" s="7">
        <f>SUM(F88+L88)</f>
        <v>20717</v>
      </c>
      <c r="N88" s="11">
        <f t="shared" si="7"/>
        <v>0</v>
      </c>
      <c r="O88" s="10" t="str">
        <f>_xlfn.XLOOKUP(A88,'Reference Data'!A:A,'Reference Data'!B:B)</f>
        <v>Administrative Support</v>
      </c>
      <c r="P88" s="10" t="str">
        <f>_xlfn.XLOOKUP(A88,'Reference Data'!A:A,'Reference Data'!C:C)</f>
        <v>F</v>
      </c>
      <c r="Q88" s="7"/>
      <c r="R88" s="3"/>
      <c r="S88" s="3"/>
      <c r="T88" s="3"/>
      <c r="U88" s="3"/>
      <c r="V88" s="3"/>
    </row>
    <row r="89" spans="1:22" ht="16.5">
      <c r="A89" s="5" t="s">
        <v>266</v>
      </c>
      <c r="B89" s="5" t="s">
        <v>56</v>
      </c>
      <c r="C89" s="6" t="str">
        <f t="shared" si="4"/>
        <v>Tasty New York</v>
      </c>
      <c r="D89" s="5" t="s">
        <v>69</v>
      </c>
      <c r="E89" s="5">
        <f t="shared" si="5"/>
        <v>1</v>
      </c>
      <c r="F89" s="7">
        <v>82201</v>
      </c>
      <c r="G89" s="5" t="s">
        <v>64</v>
      </c>
      <c r="H89" s="5" t="s">
        <v>267</v>
      </c>
      <c r="I89" s="5">
        <f t="shared" ca="1" si="6"/>
        <v>25</v>
      </c>
      <c r="J89" s="5" t="s">
        <v>156</v>
      </c>
      <c r="K89" s="5" t="s">
        <v>61</v>
      </c>
      <c r="L89" s="7">
        <v>12330</v>
      </c>
      <c r="M89" s="7">
        <f>SUM(F89+L89)</f>
        <v>94531</v>
      </c>
      <c r="N89" s="11">
        <f t="shared" si="7"/>
        <v>0.13043340279908178</v>
      </c>
      <c r="O89" s="10" t="str">
        <f>_xlfn.XLOOKUP(A89,'Reference Data'!A:A,'Reference Data'!B:B)</f>
        <v>Plant Manager</v>
      </c>
      <c r="P89" s="10" t="str">
        <f>_xlfn.XLOOKUP(A89,'Reference Data'!A:A,'Reference Data'!C:C)</f>
        <v>F</v>
      </c>
      <c r="Q89" s="7"/>
    </row>
    <row r="90" spans="1:22" ht="16.5">
      <c r="A90" s="5" t="s">
        <v>268</v>
      </c>
      <c r="B90" s="5" t="s">
        <v>56</v>
      </c>
      <c r="C90" s="6" t="str">
        <f t="shared" si="4"/>
        <v>Tasty New Jersey</v>
      </c>
      <c r="D90" s="5" t="s">
        <v>129</v>
      </c>
      <c r="E90" s="5">
        <f t="shared" si="5"/>
        <v>1</v>
      </c>
      <c r="F90" s="7">
        <v>93720</v>
      </c>
      <c r="G90" s="5" t="s">
        <v>58</v>
      </c>
      <c r="H90" s="5" t="s">
        <v>269</v>
      </c>
      <c r="I90" s="5">
        <f t="shared" ca="1" si="6"/>
        <v>29</v>
      </c>
      <c r="J90" s="5" t="s">
        <v>143</v>
      </c>
      <c r="K90" s="5" t="s">
        <v>144</v>
      </c>
      <c r="L90" s="7">
        <v>23430</v>
      </c>
      <c r="M90" s="7">
        <f>SUM(F90+L90)</f>
        <v>117150</v>
      </c>
      <c r="N90" s="11">
        <f t="shared" si="7"/>
        <v>0.2</v>
      </c>
      <c r="O90" s="10" t="str">
        <f>_xlfn.XLOOKUP(A90,'Reference Data'!A:A,'Reference Data'!B:B)</f>
        <v>Plant Supervisor</v>
      </c>
      <c r="P90" s="10" t="str">
        <f>_xlfn.XLOOKUP(A90,'Reference Data'!A:A,'Reference Data'!C:C)</f>
        <v>M</v>
      </c>
      <c r="Q90" s="7"/>
      <c r="R90" s="3"/>
      <c r="S90" s="3"/>
      <c r="T90" s="3"/>
      <c r="U90" s="3"/>
      <c r="V90" s="3"/>
    </row>
    <row r="91" spans="1:22" ht="16.5">
      <c r="A91" s="5" t="s">
        <v>270</v>
      </c>
      <c r="B91" s="5" t="s">
        <v>56</v>
      </c>
      <c r="C91" s="6" t="str">
        <f t="shared" si="4"/>
        <v>Tasty New Jersey</v>
      </c>
      <c r="D91" s="5" t="s">
        <v>129</v>
      </c>
      <c r="E91" s="5">
        <f t="shared" si="5"/>
        <v>1</v>
      </c>
      <c r="F91" s="7">
        <v>93293</v>
      </c>
      <c r="G91" s="5" t="s">
        <v>58</v>
      </c>
      <c r="H91" s="5" t="s">
        <v>255</v>
      </c>
      <c r="I91" s="5">
        <f t="shared" ca="1" si="6"/>
        <v>27</v>
      </c>
      <c r="J91" s="5" t="s">
        <v>143</v>
      </c>
      <c r="K91" s="5" t="s">
        <v>144</v>
      </c>
      <c r="L91" s="7">
        <v>24256</v>
      </c>
      <c r="M91" s="7">
        <f>SUM(F91+L91)</f>
        <v>117549</v>
      </c>
      <c r="N91" s="11">
        <f t="shared" si="7"/>
        <v>0.20634799105054064</v>
      </c>
      <c r="O91" s="10" t="str">
        <f>_xlfn.XLOOKUP(A91,'Reference Data'!A:A,'Reference Data'!B:B)</f>
        <v>Plant Supervisor</v>
      </c>
      <c r="P91" s="10" t="str">
        <f>_xlfn.XLOOKUP(A91,'Reference Data'!A:A,'Reference Data'!C:C)</f>
        <v>M</v>
      </c>
      <c r="Q91" s="7"/>
      <c r="R91" s="3"/>
      <c r="S91" s="3"/>
      <c r="T91" s="3"/>
      <c r="U91" s="3"/>
      <c r="V91" s="3"/>
    </row>
    <row r="92" spans="1:22" ht="16.5">
      <c r="A92" s="5" t="s">
        <v>271</v>
      </c>
      <c r="B92" s="5" t="s">
        <v>56</v>
      </c>
      <c r="C92" s="6" t="str">
        <f t="shared" si="4"/>
        <v>Tasty New York</v>
      </c>
      <c r="D92" s="5" t="s">
        <v>69</v>
      </c>
      <c r="E92" s="5">
        <f t="shared" si="5"/>
        <v>1</v>
      </c>
      <c r="F92" s="7">
        <v>36813</v>
      </c>
      <c r="G92" s="5" t="s">
        <v>64</v>
      </c>
      <c r="H92" s="5" t="s">
        <v>214</v>
      </c>
      <c r="I92" s="5">
        <f t="shared" ca="1" si="6"/>
        <v>24</v>
      </c>
      <c r="J92" s="5" t="s">
        <v>127</v>
      </c>
      <c r="K92" s="5" t="s">
        <v>67</v>
      </c>
      <c r="L92" s="7">
        <v>5522</v>
      </c>
      <c r="M92" s="7">
        <f>SUM(F92+L92)</f>
        <v>42335</v>
      </c>
      <c r="N92" s="11">
        <f t="shared" si="7"/>
        <v>0.13043580961379472</v>
      </c>
      <c r="O92" s="10" t="str">
        <f>_xlfn.XLOOKUP(A92,'Reference Data'!A:A,'Reference Data'!B:B)</f>
        <v>Plant Worker</v>
      </c>
      <c r="P92" s="10" t="str">
        <f>_xlfn.XLOOKUP(A92,'Reference Data'!A:A,'Reference Data'!C:C)</f>
        <v>M</v>
      </c>
      <c r="Q92" s="7"/>
      <c r="R92" s="3"/>
      <c r="S92" s="3"/>
      <c r="T92" s="3"/>
      <c r="U92" s="3"/>
      <c r="V92" s="3"/>
    </row>
    <row r="93" spans="1:22" ht="16.5">
      <c r="A93" s="5" t="s">
        <v>272</v>
      </c>
      <c r="B93" s="5" t="s">
        <v>56</v>
      </c>
      <c r="C93" s="6" t="str">
        <f t="shared" si="4"/>
        <v>Tasty New Jersey</v>
      </c>
      <c r="D93" s="5" t="s">
        <v>129</v>
      </c>
      <c r="E93" s="5">
        <f t="shared" si="5"/>
        <v>1</v>
      </c>
      <c r="F93" s="7">
        <v>73034</v>
      </c>
      <c r="G93" s="5" t="s">
        <v>58</v>
      </c>
      <c r="H93" s="5" t="s">
        <v>273</v>
      </c>
      <c r="I93" s="5">
        <f t="shared" ca="1" si="6"/>
        <v>25</v>
      </c>
      <c r="J93" s="5" t="s">
        <v>143</v>
      </c>
      <c r="K93" s="5" t="s">
        <v>144</v>
      </c>
      <c r="L93" s="7">
        <v>16798</v>
      </c>
      <c r="M93" s="7">
        <f>SUM(F93+L93)</f>
        <v>89832</v>
      </c>
      <c r="N93" s="11">
        <f t="shared" si="7"/>
        <v>0.18699349897586606</v>
      </c>
      <c r="O93" s="10" t="str">
        <f>_xlfn.XLOOKUP(A93,'Reference Data'!A:A,'Reference Data'!B:B)</f>
        <v>Plant Supervisor</v>
      </c>
      <c r="P93" s="10" t="str">
        <f>_xlfn.XLOOKUP(A93,'Reference Data'!A:A,'Reference Data'!C:C)</f>
        <v>M</v>
      </c>
      <c r="Q93" s="7"/>
      <c r="R93" s="3"/>
      <c r="S93" s="3"/>
      <c r="T93" s="3"/>
      <c r="U93" s="3"/>
      <c r="V93" s="3"/>
    </row>
    <row r="94" spans="1:22" ht="16.5">
      <c r="A94" s="5" t="s">
        <v>274</v>
      </c>
      <c r="B94" s="5" t="s">
        <v>56</v>
      </c>
      <c r="C94" s="6" t="str">
        <f t="shared" si="4"/>
        <v>Tasty New Jersey</v>
      </c>
      <c r="D94" s="5" t="s">
        <v>89</v>
      </c>
      <c r="E94" s="5">
        <f t="shared" si="5"/>
        <v>0</v>
      </c>
      <c r="F94" s="7">
        <v>97060</v>
      </c>
      <c r="G94" s="5" t="s">
        <v>58</v>
      </c>
      <c r="H94" s="5" t="s">
        <v>126</v>
      </c>
      <c r="I94" s="5">
        <f t="shared" ca="1" si="6"/>
        <v>38</v>
      </c>
      <c r="J94" s="5" t="s">
        <v>91</v>
      </c>
      <c r="K94" s="5" t="s">
        <v>61</v>
      </c>
      <c r="L94" s="7">
        <v>26206</v>
      </c>
      <c r="M94" s="7">
        <f>SUM(F94+L94)</f>
        <v>123266</v>
      </c>
      <c r="N94" s="11">
        <f t="shared" si="7"/>
        <v>0.21259714763195042</v>
      </c>
      <c r="O94" s="10" t="str">
        <f>_xlfn.XLOOKUP(A94,'Reference Data'!A:A,'Reference Data'!B:B)</f>
        <v>Plant Supervisor</v>
      </c>
      <c r="P94" s="10" t="str">
        <f>_xlfn.XLOOKUP(A94,'Reference Data'!A:A,'Reference Data'!C:C)</f>
        <v>M</v>
      </c>
      <c r="Q94" s="7"/>
      <c r="R94" s="3"/>
      <c r="S94" s="3"/>
      <c r="T94" s="3"/>
      <c r="U94" s="3"/>
      <c r="V94" s="3"/>
    </row>
    <row r="95" spans="1:22" ht="16.5">
      <c r="A95" s="5" t="s">
        <v>275</v>
      </c>
      <c r="B95" s="5" t="s">
        <v>56</v>
      </c>
      <c r="C95" s="6" t="str">
        <f t="shared" si="4"/>
        <v>Tasty New Jersey</v>
      </c>
      <c r="D95" s="5" t="s">
        <v>129</v>
      </c>
      <c r="E95" s="5">
        <f t="shared" si="5"/>
        <v>1</v>
      </c>
      <c r="F95" s="7">
        <v>89782</v>
      </c>
      <c r="G95" s="5" t="s">
        <v>58</v>
      </c>
      <c r="H95" s="5" t="s">
        <v>276</v>
      </c>
      <c r="I95" s="5">
        <f t="shared" ca="1" si="6"/>
        <v>23</v>
      </c>
      <c r="J95" s="5" t="s">
        <v>143</v>
      </c>
      <c r="K95" s="5" t="s">
        <v>144</v>
      </c>
      <c r="L95" s="7">
        <v>18854</v>
      </c>
      <c r="M95" s="7">
        <f>SUM(F95+L95)</f>
        <v>108636</v>
      </c>
      <c r="N95" s="11">
        <f t="shared" si="7"/>
        <v>0.17355204536249494</v>
      </c>
      <c r="O95" s="10" t="str">
        <f>_xlfn.XLOOKUP(A95,'Reference Data'!A:A,'Reference Data'!B:B)</f>
        <v>Plant Supervisor</v>
      </c>
      <c r="P95" s="10" t="str">
        <f>_xlfn.XLOOKUP(A95,'Reference Data'!A:A,'Reference Data'!C:C)</f>
        <v>M</v>
      </c>
      <c r="Q95" s="7"/>
      <c r="R95" s="3"/>
      <c r="S95" s="3"/>
      <c r="T95" s="3"/>
      <c r="U95" s="3"/>
      <c r="V95" s="3"/>
    </row>
    <row r="96" spans="1:22" ht="16.5">
      <c r="A96" s="5" t="s">
        <v>277</v>
      </c>
      <c r="B96" s="5" t="s">
        <v>56</v>
      </c>
      <c r="C96" s="6" t="str">
        <f t="shared" si="4"/>
        <v>Tasty New York</v>
      </c>
      <c r="D96" s="5" t="s">
        <v>89</v>
      </c>
      <c r="E96" s="5">
        <f t="shared" si="5"/>
        <v>0</v>
      </c>
      <c r="F96" s="7">
        <v>48892</v>
      </c>
      <c r="G96" s="5" t="s">
        <v>64</v>
      </c>
      <c r="H96" s="5" t="s">
        <v>278</v>
      </c>
      <c r="I96" s="5">
        <f t="shared" ca="1" si="6"/>
        <v>23</v>
      </c>
      <c r="J96" s="5" t="s">
        <v>91</v>
      </c>
      <c r="K96" s="5" t="s">
        <v>67</v>
      </c>
      <c r="L96" s="7">
        <v>7334</v>
      </c>
      <c r="M96" s="7">
        <f>SUM(F96+L96)</f>
        <v>56226</v>
      </c>
      <c r="N96" s="11">
        <f t="shared" si="7"/>
        <v>0.13043787571586099</v>
      </c>
      <c r="O96" s="10" t="str">
        <f>_xlfn.XLOOKUP(A96,'Reference Data'!A:A,'Reference Data'!B:B)</f>
        <v>Plant Worker</v>
      </c>
      <c r="P96" s="10" t="str">
        <f>_xlfn.XLOOKUP(A96,'Reference Data'!A:A,'Reference Data'!C:C)</f>
        <v>M</v>
      </c>
      <c r="Q96" s="7"/>
      <c r="R96" s="3"/>
      <c r="S96" s="3"/>
      <c r="T96" s="3"/>
      <c r="U96" s="3"/>
      <c r="V96" s="3"/>
    </row>
    <row r="97" spans="1:22" ht="16.5">
      <c r="A97" s="5" t="s">
        <v>279</v>
      </c>
      <c r="B97" s="5" t="s">
        <v>56</v>
      </c>
      <c r="C97" s="6" t="str">
        <f t="shared" si="4"/>
        <v>Tasty New Jersey</v>
      </c>
      <c r="D97" s="5" t="s">
        <v>69</v>
      </c>
      <c r="E97" s="5">
        <f t="shared" si="5"/>
        <v>1</v>
      </c>
      <c r="F97" s="7">
        <v>41095</v>
      </c>
      <c r="G97" s="5" t="s">
        <v>58</v>
      </c>
      <c r="H97" s="5" t="s">
        <v>189</v>
      </c>
      <c r="I97" s="5">
        <f t="shared" ca="1" si="6"/>
        <v>34</v>
      </c>
      <c r="J97" s="5" t="s">
        <v>71</v>
      </c>
      <c r="K97" s="5" t="s">
        <v>260</v>
      </c>
      <c r="L97" s="7">
        <v>10274</v>
      </c>
      <c r="M97" s="7">
        <f>SUM(F97+L97)</f>
        <v>51369</v>
      </c>
      <c r="N97" s="11">
        <f t="shared" si="7"/>
        <v>0.20000389339874244</v>
      </c>
      <c r="O97" s="10" t="str">
        <f>_xlfn.XLOOKUP(A97,'Reference Data'!A:A,'Reference Data'!B:B)</f>
        <v>Plant Supervisor</v>
      </c>
      <c r="P97" s="10" t="str">
        <f>_xlfn.XLOOKUP(A97,'Reference Data'!A:A,'Reference Data'!C:C)</f>
        <v>M</v>
      </c>
      <c r="Q97" s="7"/>
      <c r="R97" s="3"/>
      <c r="S97" s="3"/>
      <c r="T97" s="3"/>
      <c r="U97" s="3"/>
      <c r="V97" s="3"/>
    </row>
    <row r="98" spans="1:22" ht="16.5">
      <c r="A98" s="5" t="s">
        <v>280</v>
      </c>
      <c r="B98" s="5" t="s">
        <v>56</v>
      </c>
      <c r="C98" s="6" t="str">
        <f t="shared" si="4"/>
        <v>Tasty New Jersey</v>
      </c>
      <c r="D98" s="5" t="s">
        <v>69</v>
      </c>
      <c r="E98" s="5">
        <f t="shared" si="5"/>
        <v>1</v>
      </c>
      <c r="F98" s="7">
        <v>43354</v>
      </c>
      <c r="G98" s="5" t="s">
        <v>58</v>
      </c>
      <c r="H98" s="5" t="s">
        <v>281</v>
      </c>
      <c r="I98" s="5">
        <f t="shared" ca="1" si="6"/>
        <v>48</v>
      </c>
      <c r="J98" s="5" t="s">
        <v>282</v>
      </c>
      <c r="K98" s="5" t="s">
        <v>61</v>
      </c>
      <c r="L98" s="7">
        <v>11272</v>
      </c>
      <c r="M98" s="7">
        <f>SUM(F98+L98)</f>
        <v>54626</v>
      </c>
      <c r="N98" s="11">
        <f t="shared" si="7"/>
        <v>0.20634862519679273</v>
      </c>
      <c r="O98" s="10" t="str">
        <f>_xlfn.XLOOKUP(A98,'Reference Data'!A:A,'Reference Data'!B:B)</f>
        <v>Plant Supervisor</v>
      </c>
      <c r="P98" s="10" t="str">
        <f>_xlfn.XLOOKUP(A98,'Reference Data'!A:A,'Reference Data'!C:C)</f>
        <v>M</v>
      </c>
      <c r="Q98" s="7"/>
      <c r="R98" s="3"/>
      <c r="S98" s="3"/>
      <c r="T98" s="3"/>
      <c r="U98" s="3"/>
      <c r="V98" s="3"/>
    </row>
    <row r="99" spans="1:22" ht="16.5">
      <c r="A99" s="5" t="s">
        <v>283</v>
      </c>
      <c r="B99" s="5" t="s">
        <v>56</v>
      </c>
      <c r="C99" s="6" t="str">
        <f t="shared" si="4"/>
        <v>Tasty New Jersey</v>
      </c>
      <c r="D99" s="5" t="s">
        <v>284</v>
      </c>
      <c r="E99" s="5">
        <f t="shared" si="5"/>
        <v>0</v>
      </c>
      <c r="F99" s="7">
        <v>99091</v>
      </c>
      <c r="G99" s="5" t="s">
        <v>58</v>
      </c>
      <c r="H99" s="5" t="s">
        <v>285</v>
      </c>
      <c r="I99" s="5">
        <f t="shared" ca="1" si="6"/>
        <v>27</v>
      </c>
      <c r="J99" s="5" t="s">
        <v>286</v>
      </c>
      <c r="K99" s="5" t="s">
        <v>61</v>
      </c>
      <c r="L99" s="7">
        <v>26755</v>
      </c>
      <c r="M99" s="7">
        <f>SUM(F99+L99)</f>
        <v>125846</v>
      </c>
      <c r="N99" s="11">
        <f t="shared" si="7"/>
        <v>0.21260111564928563</v>
      </c>
      <c r="O99" s="10" t="str">
        <f>_xlfn.XLOOKUP(A99,'Reference Data'!A:A,'Reference Data'!B:B)</f>
        <v>Plant Supervisor</v>
      </c>
      <c r="P99" s="10" t="str">
        <f>_xlfn.XLOOKUP(A99,'Reference Data'!A:A,'Reference Data'!C:C)</f>
        <v>M</v>
      </c>
      <c r="Q99" s="7"/>
      <c r="R99" s="3"/>
      <c r="S99" s="3"/>
      <c r="T99" s="3"/>
      <c r="U99" s="3"/>
      <c r="V99" s="3"/>
    </row>
    <row r="100" spans="1:22" ht="16.5">
      <c r="A100" s="5" t="s">
        <v>287</v>
      </c>
      <c r="B100" s="5" t="s">
        <v>56</v>
      </c>
      <c r="C100" s="6" t="str">
        <f t="shared" si="4"/>
        <v>Tasty New York</v>
      </c>
      <c r="D100" s="5" t="s">
        <v>129</v>
      </c>
      <c r="E100" s="5">
        <f t="shared" si="5"/>
        <v>1</v>
      </c>
      <c r="F100" s="7">
        <v>100956</v>
      </c>
      <c r="G100" s="5" t="s">
        <v>77</v>
      </c>
      <c r="H100" s="5" t="s">
        <v>265</v>
      </c>
      <c r="I100" s="5">
        <f t="shared" ca="1" si="6"/>
        <v>26</v>
      </c>
      <c r="J100" s="5" t="s">
        <v>143</v>
      </c>
      <c r="K100" s="5" t="s">
        <v>144</v>
      </c>
      <c r="L100" s="7">
        <v>10096</v>
      </c>
      <c r="M100" s="7">
        <f>SUM(F100+L100)</f>
        <v>111052</v>
      </c>
      <c r="N100" s="11">
        <f t="shared" si="7"/>
        <v>9.0912365378381294E-2</v>
      </c>
      <c r="O100" s="10" t="str">
        <f>_xlfn.XLOOKUP(A100,'Reference Data'!A:A,'Reference Data'!B:B)</f>
        <v>Plant Manager</v>
      </c>
      <c r="P100" s="10" t="str">
        <f>_xlfn.XLOOKUP(A100,'Reference Data'!A:A,'Reference Data'!C:C)</f>
        <v>M</v>
      </c>
      <c r="Q100" s="7"/>
      <c r="R100" s="3"/>
      <c r="S100" s="3"/>
      <c r="T100" s="3"/>
      <c r="U100" s="3"/>
      <c r="V100" s="3"/>
    </row>
    <row r="101" spans="1:22" ht="16.5">
      <c r="A101" s="5" t="s">
        <v>288</v>
      </c>
      <c r="B101" s="5" t="s">
        <v>56</v>
      </c>
      <c r="C101" s="6" t="str">
        <f t="shared" si="4"/>
        <v>Tasty New Jersey</v>
      </c>
      <c r="D101" s="5" t="s">
        <v>69</v>
      </c>
      <c r="E101" s="5">
        <f t="shared" si="5"/>
        <v>1</v>
      </c>
      <c r="F101" s="7">
        <v>41784</v>
      </c>
      <c r="G101" s="5" t="s">
        <v>58</v>
      </c>
      <c r="H101" s="5" t="s">
        <v>289</v>
      </c>
      <c r="I101" s="5">
        <f t="shared" ca="1" si="6"/>
        <v>36</v>
      </c>
      <c r="J101" s="5" t="s">
        <v>156</v>
      </c>
      <c r="K101" s="5" t="s">
        <v>61</v>
      </c>
      <c r="L101" s="7">
        <v>5014</v>
      </c>
      <c r="M101" s="7">
        <f>SUM(F101+L101)</f>
        <v>46798</v>
      </c>
      <c r="N101" s="11">
        <f t="shared" si="7"/>
        <v>0.10714133082610368</v>
      </c>
      <c r="O101" s="10" t="str">
        <f>_xlfn.XLOOKUP(A101,'Reference Data'!A:A,'Reference Data'!B:B)</f>
        <v>Plant Supervisor</v>
      </c>
      <c r="P101" s="10" t="str">
        <f>_xlfn.XLOOKUP(A101,'Reference Data'!A:A,'Reference Data'!C:C)</f>
        <v>M</v>
      </c>
      <c r="Q101" s="7"/>
      <c r="R101" s="3"/>
      <c r="S101" s="3"/>
      <c r="T101" s="3"/>
      <c r="U101" s="3"/>
      <c r="V101" s="3"/>
    </row>
    <row r="102" spans="1:22" ht="16.5">
      <c r="A102" s="5" t="s">
        <v>290</v>
      </c>
      <c r="B102" s="5" t="s">
        <v>56</v>
      </c>
      <c r="C102" s="6" t="str">
        <f t="shared" si="4"/>
        <v>Tasty New York</v>
      </c>
      <c r="D102" s="5" t="s">
        <v>69</v>
      </c>
      <c r="E102" s="5">
        <f t="shared" si="5"/>
        <v>1</v>
      </c>
      <c r="F102" s="7">
        <v>24661</v>
      </c>
      <c r="G102" s="5" t="s">
        <v>64</v>
      </c>
      <c r="H102" s="5" t="s">
        <v>291</v>
      </c>
      <c r="I102" s="5">
        <f t="shared" ca="1" si="6"/>
        <v>21</v>
      </c>
      <c r="J102" s="5" t="s">
        <v>127</v>
      </c>
      <c r="K102" s="5" t="s">
        <v>67</v>
      </c>
      <c r="L102" s="7">
        <v>0</v>
      </c>
      <c r="M102" s="7">
        <f>SUM(F102+L102)</f>
        <v>24661</v>
      </c>
      <c r="N102" s="11">
        <f t="shared" si="7"/>
        <v>0</v>
      </c>
      <c r="O102" s="10" t="str">
        <f>_xlfn.XLOOKUP(A102,'Reference Data'!A:A,'Reference Data'!B:B)</f>
        <v>Administrative Support</v>
      </c>
      <c r="P102" s="10" t="str">
        <f>_xlfn.XLOOKUP(A102,'Reference Data'!A:A,'Reference Data'!C:C)</f>
        <v>M</v>
      </c>
      <c r="Q102" s="7"/>
      <c r="R102" s="3"/>
      <c r="S102" s="3"/>
      <c r="T102" s="3"/>
      <c r="U102" s="3"/>
      <c r="V102" s="3"/>
    </row>
    <row r="103" spans="1:22" ht="16.5">
      <c r="A103" s="5" t="s">
        <v>292</v>
      </c>
      <c r="B103" s="5" t="s">
        <v>56</v>
      </c>
      <c r="C103" s="6" t="str">
        <f t="shared" si="4"/>
        <v>Tasty New Jersey</v>
      </c>
      <c r="D103" s="5" t="s">
        <v>69</v>
      </c>
      <c r="E103" s="5">
        <f t="shared" si="5"/>
        <v>1</v>
      </c>
      <c r="F103" s="7">
        <v>43894</v>
      </c>
      <c r="G103" s="5" t="s">
        <v>58</v>
      </c>
      <c r="H103" s="5" t="s">
        <v>293</v>
      </c>
      <c r="I103" s="5">
        <f t="shared" ca="1" si="6"/>
        <v>22</v>
      </c>
      <c r="J103" s="5" t="s">
        <v>71</v>
      </c>
      <c r="K103" s="5" t="s">
        <v>144</v>
      </c>
      <c r="L103" s="7">
        <v>10535</v>
      </c>
      <c r="M103" s="7">
        <f>SUM(F103+L103)</f>
        <v>54429</v>
      </c>
      <c r="N103" s="11">
        <f t="shared" si="7"/>
        <v>0.19355490639181319</v>
      </c>
      <c r="O103" s="10" t="str">
        <f>_xlfn.XLOOKUP(A103,'Reference Data'!A:A,'Reference Data'!B:B)</f>
        <v>Plant Supervisor</v>
      </c>
      <c r="P103" s="10" t="str">
        <f>_xlfn.XLOOKUP(A103,'Reference Data'!A:A,'Reference Data'!C:C)</f>
        <v>M</v>
      </c>
      <c r="Q103" s="7"/>
    </row>
    <row r="104" spans="1:22" ht="16.5">
      <c r="A104" s="5" t="s">
        <v>294</v>
      </c>
      <c r="B104" s="5" t="s">
        <v>56</v>
      </c>
      <c r="C104" s="6" t="str">
        <f t="shared" si="4"/>
        <v>Tasty New Jersey</v>
      </c>
      <c r="D104" s="5" t="s">
        <v>69</v>
      </c>
      <c r="E104" s="5">
        <f t="shared" si="5"/>
        <v>1</v>
      </c>
      <c r="F104" s="7">
        <v>48192.6</v>
      </c>
      <c r="G104" s="5" t="s">
        <v>58</v>
      </c>
      <c r="H104" s="5" t="s">
        <v>295</v>
      </c>
      <c r="I104" s="5">
        <f t="shared" ca="1" si="6"/>
        <v>18</v>
      </c>
      <c r="J104" s="5" t="s">
        <v>71</v>
      </c>
      <c r="K104" s="5" t="s">
        <v>61</v>
      </c>
      <c r="L104" s="7">
        <v>11084</v>
      </c>
      <c r="M104" s="7">
        <f>SUM(F104+L104)</f>
        <v>59276.6</v>
      </c>
      <c r="N104" s="11">
        <f t="shared" si="7"/>
        <v>0.1869877827000874</v>
      </c>
      <c r="O104" s="10" t="str">
        <f>_xlfn.XLOOKUP(A104,'Reference Data'!A:A,'Reference Data'!B:B)</f>
        <v>Plant Supervisor</v>
      </c>
      <c r="P104" s="10" t="str">
        <f>_xlfn.XLOOKUP(A104,'Reference Data'!A:A,'Reference Data'!C:C)</f>
        <v>M</v>
      </c>
      <c r="Q104" s="7"/>
      <c r="R104" s="3"/>
      <c r="S104" s="3"/>
      <c r="T104" s="3"/>
      <c r="U104" s="3"/>
      <c r="V104" s="3"/>
    </row>
    <row r="105" spans="1:22" ht="16.5">
      <c r="A105" s="5" t="s">
        <v>296</v>
      </c>
      <c r="B105" s="5" t="s">
        <v>56</v>
      </c>
      <c r="C105" s="6" t="str">
        <f t="shared" si="4"/>
        <v>Tasty New Jersey</v>
      </c>
      <c r="D105" s="5" t="s">
        <v>69</v>
      </c>
      <c r="E105" s="5">
        <f t="shared" si="5"/>
        <v>1</v>
      </c>
      <c r="F105" s="7">
        <v>49581</v>
      </c>
      <c r="G105" s="5" t="s">
        <v>58</v>
      </c>
      <c r="H105" s="5" t="s">
        <v>276</v>
      </c>
      <c r="I105" s="5">
        <f t="shared" ca="1" si="6"/>
        <v>23</v>
      </c>
      <c r="J105" s="5" t="s">
        <v>60</v>
      </c>
      <c r="K105" s="5" t="s">
        <v>61</v>
      </c>
      <c r="L105" s="7">
        <v>12395</v>
      </c>
      <c r="M105" s="7">
        <f>SUM(F105+L105)</f>
        <v>61976</v>
      </c>
      <c r="N105" s="11">
        <f t="shared" si="7"/>
        <v>0.19999677294436555</v>
      </c>
      <c r="O105" s="10" t="str">
        <f>_xlfn.XLOOKUP(A105,'Reference Data'!A:A,'Reference Data'!B:B)</f>
        <v>Plant Supervisor</v>
      </c>
      <c r="P105" s="10" t="str">
        <f>_xlfn.XLOOKUP(A105,'Reference Data'!A:A,'Reference Data'!C:C)</f>
        <v>F</v>
      </c>
      <c r="Q105" s="7"/>
      <c r="R105" s="3"/>
      <c r="S105" s="3"/>
      <c r="T105" s="3"/>
      <c r="U105" s="3"/>
      <c r="V105" s="3"/>
    </row>
    <row r="106" spans="1:22" ht="16.5">
      <c r="A106" s="5" t="s">
        <v>297</v>
      </c>
      <c r="B106" s="5" t="s">
        <v>56</v>
      </c>
      <c r="C106" s="6" t="str">
        <f t="shared" si="4"/>
        <v>Tasty New Jersey</v>
      </c>
      <c r="D106" s="5" t="s">
        <v>69</v>
      </c>
      <c r="E106" s="5">
        <f t="shared" si="5"/>
        <v>1</v>
      </c>
      <c r="F106" s="7">
        <v>34853</v>
      </c>
      <c r="G106" s="5" t="s">
        <v>58</v>
      </c>
      <c r="H106" s="5" t="s">
        <v>111</v>
      </c>
      <c r="I106" s="5">
        <f t="shared" ca="1" si="6"/>
        <v>48</v>
      </c>
      <c r="J106" s="5" t="s">
        <v>71</v>
      </c>
      <c r="K106" s="5" t="s">
        <v>75</v>
      </c>
      <c r="L106" s="7">
        <v>6274</v>
      </c>
      <c r="M106" s="7">
        <f>SUM(F106+L106)</f>
        <v>41127</v>
      </c>
      <c r="N106" s="11">
        <f t="shared" si="7"/>
        <v>0.15255185158168599</v>
      </c>
      <c r="O106" s="10" t="str">
        <f>_xlfn.XLOOKUP(A106,'Reference Data'!A:A,'Reference Data'!B:B)</f>
        <v>Plant Worker</v>
      </c>
      <c r="P106" s="10" t="str">
        <f>_xlfn.XLOOKUP(A106,'Reference Data'!A:A,'Reference Data'!C:C)</f>
        <v>M</v>
      </c>
      <c r="Q106" s="7"/>
      <c r="R106" s="3"/>
      <c r="S106" s="3"/>
      <c r="T106" s="3"/>
      <c r="U106" s="3"/>
      <c r="V106" s="3"/>
    </row>
    <row r="107" spans="1:22" ht="16.5">
      <c r="A107" s="5" t="s">
        <v>298</v>
      </c>
      <c r="B107" s="5" t="s">
        <v>56</v>
      </c>
      <c r="C107" s="6" t="str">
        <f t="shared" si="4"/>
        <v>Tasty New Jersey</v>
      </c>
      <c r="D107" s="5" t="s">
        <v>57</v>
      </c>
      <c r="E107" s="5">
        <f t="shared" si="5"/>
        <v>1</v>
      </c>
      <c r="F107" s="7">
        <v>65735</v>
      </c>
      <c r="G107" s="5" t="s">
        <v>58</v>
      </c>
      <c r="H107" s="5" t="s">
        <v>299</v>
      </c>
      <c r="I107" s="5">
        <f t="shared" ca="1" si="6"/>
        <v>34</v>
      </c>
      <c r="J107" s="5" t="s">
        <v>96</v>
      </c>
      <c r="K107" s="5" t="s">
        <v>61</v>
      </c>
      <c r="L107" s="7">
        <v>9860</v>
      </c>
      <c r="M107" s="7">
        <f>SUM(F107+L107)</f>
        <v>75595</v>
      </c>
      <c r="N107" s="11">
        <f t="shared" si="7"/>
        <v>0.13043190687214762</v>
      </c>
      <c r="O107" s="10" t="str">
        <f>_xlfn.XLOOKUP(A107,'Reference Data'!A:A,'Reference Data'!B:B)</f>
        <v>Plant Worker</v>
      </c>
      <c r="P107" s="10" t="str">
        <f>_xlfn.XLOOKUP(A107,'Reference Data'!A:A,'Reference Data'!C:C)</f>
        <v>M</v>
      </c>
      <c r="Q107" s="7"/>
      <c r="R107" s="3"/>
      <c r="S107" s="3"/>
      <c r="T107" s="3"/>
      <c r="U107" s="3"/>
      <c r="V107" s="3"/>
    </row>
    <row r="108" spans="1:22" ht="16.5">
      <c r="A108" s="5" t="s">
        <v>300</v>
      </c>
      <c r="B108" s="5" t="s">
        <v>56</v>
      </c>
      <c r="C108" s="6" t="str">
        <f t="shared" si="4"/>
        <v>Tasty New Jersey</v>
      </c>
      <c r="D108" s="5" t="s">
        <v>129</v>
      </c>
      <c r="E108" s="5">
        <f t="shared" si="5"/>
        <v>1</v>
      </c>
      <c r="F108" s="7">
        <v>37551</v>
      </c>
      <c r="G108" s="5" t="s">
        <v>58</v>
      </c>
      <c r="H108" s="5" t="s">
        <v>301</v>
      </c>
      <c r="I108" s="5">
        <f t="shared" ca="1" si="6"/>
        <v>30</v>
      </c>
      <c r="J108" s="5" t="s">
        <v>143</v>
      </c>
      <c r="K108" s="5" t="s">
        <v>144</v>
      </c>
      <c r="L108" s="7">
        <v>6008</v>
      </c>
      <c r="M108" s="7">
        <f>SUM(F108+L108)</f>
        <v>43559</v>
      </c>
      <c r="N108" s="11">
        <f t="shared" si="7"/>
        <v>0.1379278679492183</v>
      </c>
      <c r="O108" s="10" t="str">
        <f>_xlfn.XLOOKUP(A108,'Reference Data'!A:A,'Reference Data'!B:B)</f>
        <v>Plant Worker</v>
      </c>
      <c r="P108" s="10" t="str">
        <f>_xlfn.XLOOKUP(A108,'Reference Data'!A:A,'Reference Data'!C:C)</f>
        <v>F</v>
      </c>
      <c r="Q108" s="7"/>
      <c r="R108" s="3"/>
      <c r="S108" s="3"/>
      <c r="T108" s="3"/>
      <c r="U108" s="3"/>
      <c r="V108" s="3"/>
    </row>
    <row r="109" spans="1:22" ht="16.5">
      <c r="A109" s="5" t="s">
        <v>302</v>
      </c>
      <c r="B109" s="5" t="s">
        <v>56</v>
      </c>
      <c r="C109" s="6" t="str">
        <f t="shared" si="4"/>
        <v>Tasty New York</v>
      </c>
      <c r="D109" s="5" t="s">
        <v>69</v>
      </c>
      <c r="E109" s="5">
        <f t="shared" si="5"/>
        <v>1</v>
      </c>
      <c r="F109" s="7">
        <v>37471</v>
      </c>
      <c r="G109" s="5" t="s">
        <v>113</v>
      </c>
      <c r="H109" s="5" t="s">
        <v>303</v>
      </c>
      <c r="I109" s="5">
        <f t="shared" ca="1" si="6"/>
        <v>13</v>
      </c>
      <c r="J109" s="5" t="s">
        <v>60</v>
      </c>
      <c r="K109" s="5" t="s">
        <v>61</v>
      </c>
      <c r="L109" s="7">
        <v>7119</v>
      </c>
      <c r="M109" s="7">
        <f>SUM(F109+L109)</f>
        <v>44590</v>
      </c>
      <c r="N109" s="11">
        <f t="shared" si="7"/>
        <v>0.15965463108320252</v>
      </c>
      <c r="O109" s="10" t="str">
        <f>_xlfn.XLOOKUP(A109,'Reference Data'!A:A,'Reference Data'!B:B)</f>
        <v>Plant Worker</v>
      </c>
      <c r="P109" s="10" t="str">
        <f>_xlfn.XLOOKUP(A109,'Reference Data'!A:A,'Reference Data'!C:C)</f>
        <v>F</v>
      </c>
      <c r="Q109" s="7"/>
      <c r="R109" s="3"/>
      <c r="S109" s="3"/>
      <c r="T109" s="3"/>
      <c r="U109" s="3"/>
      <c r="V109" s="3"/>
    </row>
    <row r="110" spans="1:22" ht="16.5">
      <c r="A110" s="5" t="s">
        <v>304</v>
      </c>
      <c r="B110" s="5" t="s">
        <v>56</v>
      </c>
      <c r="C110" s="6" t="str">
        <f t="shared" si="4"/>
        <v>Tasty New Jersey</v>
      </c>
      <c r="D110" s="5" t="s">
        <v>57</v>
      </c>
      <c r="E110" s="5">
        <f t="shared" si="5"/>
        <v>1</v>
      </c>
      <c r="F110" s="7">
        <v>62330</v>
      </c>
      <c r="G110" s="5" t="s">
        <v>58</v>
      </c>
      <c r="H110" s="5" t="s">
        <v>305</v>
      </c>
      <c r="I110" s="5">
        <f t="shared" ca="1" si="6"/>
        <v>29</v>
      </c>
      <c r="J110" s="5" t="s">
        <v>96</v>
      </c>
      <c r="K110" s="5" t="s">
        <v>61</v>
      </c>
      <c r="L110" s="7">
        <v>9973</v>
      </c>
      <c r="M110" s="7">
        <f>SUM(F110+L110)</f>
        <v>72303</v>
      </c>
      <c r="N110" s="11">
        <f t="shared" si="7"/>
        <v>0.13793341908357884</v>
      </c>
      <c r="O110" s="10" t="str">
        <f>_xlfn.XLOOKUP(A110,'Reference Data'!A:A,'Reference Data'!B:B)</f>
        <v>Plant Worker</v>
      </c>
      <c r="P110" s="10" t="str">
        <f>_xlfn.XLOOKUP(A110,'Reference Data'!A:A,'Reference Data'!C:C)</f>
        <v>F</v>
      </c>
      <c r="Q110" s="7"/>
      <c r="R110" s="3"/>
      <c r="S110" s="3"/>
      <c r="T110" s="3"/>
      <c r="U110" s="3"/>
      <c r="V110" s="3"/>
    </row>
    <row r="111" spans="1:22" ht="16.5">
      <c r="A111" s="5" t="s">
        <v>306</v>
      </c>
      <c r="B111" s="5" t="s">
        <v>56</v>
      </c>
      <c r="C111" s="6" t="str">
        <f t="shared" si="4"/>
        <v>Tasty New York</v>
      </c>
      <c r="D111" s="5" t="s">
        <v>57</v>
      </c>
      <c r="E111" s="5">
        <f t="shared" si="5"/>
        <v>1</v>
      </c>
      <c r="F111" s="7">
        <v>123212</v>
      </c>
      <c r="G111" s="5" t="s">
        <v>64</v>
      </c>
      <c r="H111" s="5" t="s">
        <v>307</v>
      </c>
      <c r="I111" s="5">
        <f t="shared" ca="1" si="6"/>
        <v>16</v>
      </c>
      <c r="J111" s="5" t="s">
        <v>87</v>
      </c>
      <c r="K111" s="5" t="s">
        <v>140</v>
      </c>
      <c r="L111" s="7">
        <v>18482</v>
      </c>
      <c r="M111" s="7">
        <f>SUM(F111+L111)</f>
        <v>141694</v>
      </c>
      <c r="N111" s="11">
        <f t="shared" si="7"/>
        <v>0.13043600999336599</v>
      </c>
      <c r="O111" s="10" t="str">
        <f>_xlfn.XLOOKUP(A111,'Reference Data'!A:A,'Reference Data'!B:B)</f>
        <v>Plant Manager</v>
      </c>
      <c r="P111" s="10" t="str">
        <f>_xlfn.XLOOKUP(A111,'Reference Data'!A:A,'Reference Data'!C:C)</f>
        <v>F</v>
      </c>
      <c r="Q111" s="7"/>
      <c r="R111" s="3"/>
      <c r="S111" s="3"/>
      <c r="T111" s="3"/>
      <c r="U111" s="3"/>
      <c r="V111" s="3"/>
    </row>
    <row r="112" spans="1:22" ht="16.5">
      <c r="A112" s="5" t="s">
        <v>308</v>
      </c>
      <c r="B112" s="5" t="s">
        <v>56</v>
      </c>
      <c r="C112" s="6" t="str">
        <f t="shared" si="4"/>
        <v>Tasty New York</v>
      </c>
      <c r="D112" s="5" t="s">
        <v>89</v>
      </c>
      <c r="E112" s="5">
        <f t="shared" si="5"/>
        <v>0</v>
      </c>
      <c r="F112" s="7">
        <v>198198</v>
      </c>
      <c r="G112" s="5" t="s">
        <v>64</v>
      </c>
      <c r="H112" s="5" t="s">
        <v>309</v>
      </c>
      <c r="I112" s="5">
        <f t="shared" ca="1" si="6"/>
        <v>46</v>
      </c>
      <c r="J112" s="5" t="s">
        <v>91</v>
      </c>
      <c r="K112" s="5" t="s">
        <v>82</v>
      </c>
      <c r="L112" s="7">
        <v>0</v>
      </c>
      <c r="M112" s="7">
        <f>SUM(F112+L112)</f>
        <v>198198</v>
      </c>
      <c r="N112" s="11">
        <f t="shared" si="7"/>
        <v>0</v>
      </c>
      <c r="O112" s="10" t="str">
        <f>_xlfn.XLOOKUP(A112,'Reference Data'!A:A,'Reference Data'!B:B)</f>
        <v>Director</v>
      </c>
      <c r="P112" s="10" t="str">
        <f>_xlfn.XLOOKUP(A112,'Reference Data'!A:A,'Reference Data'!C:C)</f>
        <v>M</v>
      </c>
      <c r="Q112" s="7"/>
      <c r="R112" s="3"/>
      <c r="S112" s="3"/>
      <c r="T112" s="3"/>
      <c r="U112" s="3"/>
      <c r="V112" s="3"/>
    </row>
    <row r="113" spans="1:22" ht="16.5">
      <c r="A113" s="5" t="s">
        <v>310</v>
      </c>
      <c r="B113" s="5" t="s">
        <v>56</v>
      </c>
      <c r="C113" s="6" t="str">
        <f t="shared" si="4"/>
        <v>Tasty New Jersey</v>
      </c>
      <c r="D113" s="5" t="s">
        <v>69</v>
      </c>
      <c r="E113" s="5">
        <f t="shared" si="5"/>
        <v>1</v>
      </c>
      <c r="F113" s="7">
        <v>36096</v>
      </c>
      <c r="G113" s="5" t="s">
        <v>58</v>
      </c>
      <c r="H113" s="5" t="s">
        <v>311</v>
      </c>
      <c r="I113" s="5">
        <f t="shared" ca="1" si="6"/>
        <v>26</v>
      </c>
      <c r="J113" s="5" t="s">
        <v>71</v>
      </c>
      <c r="K113" s="5" t="s">
        <v>72</v>
      </c>
      <c r="L113" s="7">
        <v>4692</v>
      </c>
      <c r="M113" s="7">
        <f>SUM(F113+L113)</f>
        <v>40788</v>
      </c>
      <c r="N113" s="11">
        <f t="shared" si="7"/>
        <v>0.11503383348043542</v>
      </c>
      <c r="O113" s="10" t="str">
        <f>_xlfn.XLOOKUP(A113,'Reference Data'!A:A,'Reference Data'!B:B)</f>
        <v>Plant Worker</v>
      </c>
      <c r="P113" s="10" t="str">
        <f>_xlfn.XLOOKUP(A113,'Reference Data'!A:A,'Reference Data'!C:C)</f>
        <v>M</v>
      </c>
      <c r="Q113" s="7"/>
    </row>
    <row r="114" spans="1:22" ht="16.5">
      <c r="A114" s="5" t="s">
        <v>312</v>
      </c>
      <c r="B114" s="5" t="s">
        <v>56</v>
      </c>
      <c r="C114" s="6" t="str">
        <f t="shared" si="4"/>
        <v>Tasty New York</v>
      </c>
      <c r="D114" s="5" t="s">
        <v>89</v>
      </c>
      <c r="E114" s="5">
        <f t="shared" si="5"/>
        <v>0</v>
      </c>
      <c r="F114" s="7">
        <v>91953</v>
      </c>
      <c r="G114" s="5" t="s">
        <v>64</v>
      </c>
      <c r="H114" s="5" t="s">
        <v>313</v>
      </c>
      <c r="I114" s="5">
        <f t="shared" ca="1" si="6"/>
        <v>63</v>
      </c>
      <c r="J114" s="5" t="s">
        <v>91</v>
      </c>
      <c r="K114" s="5" t="s">
        <v>82</v>
      </c>
      <c r="L114" s="7">
        <v>0</v>
      </c>
      <c r="M114" s="7">
        <f>SUM(F114+L114)</f>
        <v>91953</v>
      </c>
      <c r="N114" s="11">
        <f t="shared" si="7"/>
        <v>0</v>
      </c>
      <c r="O114" s="10" t="str">
        <f>_xlfn.XLOOKUP(A114,'Reference Data'!A:A,'Reference Data'!B:B)</f>
        <v>Plant Supervisor</v>
      </c>
      <c r="P114" s="10" t="str">
        <f>_xlfn.XLOOKUP(A114,'Reference Data'!A:A,'Reference Data'!C:C)</f>
        <v>M</v>
      </c>
      <c r="Q114" s="7"/>
      <c r="R114" s="3"/>
      <c r="S114" s="3"/>
      <c r="T114" s="3"/>
      <c r="U114" s="3"/>
      <c r="V114" s="3"/>
    </row>
    <row r="115" spans="1:22" ht="16.5">
      <c r="A115" s="5" t="s">
        <v>314</v>
      </c>
      <c r="B115" s="5" t="s">
        <v>56</v>
      </c>
      <c r="C115" s="6" t="str">
        <f t="shared" si="4"/>
        <v>Tasty New York</v>
      </c>
      <c r="D115" s="5" t="s">
        <v>89</v>
      </c>
      <c r="E115" s="5">
        <f t="shared" si="5"/>
        <v>0</v>
      </c>
      <c r="F115" s="7">
        <v>160008</v>
      </c>
      <c r="G115" s="5" t="s">
        <v>64</v>
      </c>
      <c r="H115" s="5" t="s">
        <v>315</v>
      </c>
      <c r="I115" s="5">
        <f t="shared" ca="1" si="6"/>
        <v>76</v>
      </c>
      <c r="J115" s="5" t="s">
        <v>91</v>
      </c>
      <c r="K115" s="5" t="s">
        <v>67</v>
      </c>
      <c r="L115" s="7">
        <v>27201</v>
      </c>
      <c r="M115" s="7">
        <f>SUM(F115+L115)</f>
        <v>187209</v>
      </c>
      <c r="N115" s="11">
        <f t="shared" si="7"/>
        <v>0.14529750172267358</v>
      </c>
      <c r="O115" s="10" t="str">
        <f>_xlfn.XLOOKUP(A115,'Reference Data'!A:A,'Reference Data'!B:B)</f>
        <v>Plant Manager</v>
      </c>
      <c r="P115" s="10" t="str">
        <f>_xlfn.XLOOKUP(A115,'Reference Data'!A:A,'Reference Data'!C:C)</f>
        <v>F</v>
      </c>
      <c r="Q115" s="7"/>
    </row>
    <row r="116" spans="1:22" ht="16.5">
      <c r="A116" s="5" t="s">
        <v>316</v>
      </c>
      <c r="B116" s="5" t="s">
        <v>56</v>
      </c>
      <c r="C116" s="6" t="str">
        <f t="shared" si="4"/>
        <v>Tasty New York</v>
      </c>
      <c r="D116" s="5" t="s">
        <v>69</v>
      </c>
      <c r="E116" s="5">
        <f t="shared" si="5"/>
        <v>1</v>
      </c>
      <c r="F116" s="7">
        <v>99568</v>
      </c>
      <c r="G116" s="5" t="s">
        <v>64</v>
      </c>
      <c r="H116" s="5" t="s">
        <v>317</v>
      </c>
      <c r="I116" s="5">
        <f t="shared" ca="1" si="6"/>
        <v>39</v>
      </c>
      <c r="J116" s="5" t="s">
        <v>127</v>
      </c>
      <c r="K116" s="5" t="s">
        <v>67</v>
      </c>
      <c r="L116" s="7">
        <v>14935</v>
      </c>
      <c r="M116" s="7">
        <f>SUM(F116+L116)</f>
        <v>114503</v>
      </c>
      <c r="N116" s="11">
        <f t="shared" si="7"/>
        <v>0.13043326375728148</v>
      </c>
      <c r="O116" s="10" t="str">
        <f>_xlfn.XLOOKUP(A116,'Reference Data'!A:A,'Reference Data'!B:B)</f>
        <v>Plant Manager</v>
      </c>
      <c r="P116" s="10" t="str">
        <f>_xlfn.XLOOKUP(A116,'Reference Data'!A:A,'Reference Data'!C:C)</f>
        <v>M</v>
      </c>
      <c r="Q116" s="7"/>
      <c r="R116" s="3"/>
      <c r="S116" s="3"/>
      <c r="T116" s="3"/>
      <c r="U116" s="3"/>
      <c r="V116" s="3"/>
    </row>
    <row r="117" spans="1:22" ht="16.5">
      <c r="A117" s="5" t="s">
        <v>318</v>
      </c>
      <c r="B117" s="5" t="s">
        <v>56</v>
      </c>
      <c r="C117" s="6" t="str">
        <f t="shared" si="4"/>
        <v>Tasty New York</v>
      </c>
      <c r="D117" s="5" t="s">
        <v>57</v>
      </c>
      <c r="E117" s="5">
        <f t="shared" si="5"/>
        <v>1</v>
      </c>
      <c r="F117" s="7">
        <v>87242</v>
      </c>
      <c r="G117" s="5" t="s">
        <v>77</v>
      </c>
      <c r="H117" s="5" t="s">
        <v>126</v>
      </c>
      <c r="I117" s="5">
        <f t="shared" ca="1" si="6"/>
        <v>38</v>
      </c>
      <c r="J117" s="5" t="s">
        <v>96</v>
      </c>
      <c r="K117" s="5" t="s">
        <v>61</v>
      </c>
      <c r="L117" s="7">
        <v>1745</v>
      </c>
      <c r="M117" s="7">
        <f>SUM(F117+L117)</f>
        <v>88987</v>
      </c>
      <c r="N117" s="11">
        <f t="shared" si="7"/>
        <v>1.9609605897490643E-2</v>
      </c>
      <c r="O117" s="10" t="str">
        <f>_xlfn.XLOOKUP(A117,'Reference Data'!A:A,'Reference Data'!B:B)</f>
        <v>Plant Supervisor</v>
      </c>
      <c r="P117" s="10" t="str">
        <f>_xlfn.XLOOKUP(A117,'Reference Data'!A:A,'Reference Data'!C:C)</f>
        <v>F</v>
      </c>
      <c r="Q117" s="7"/>
      <c r="R117" s="3"/>
      <c r="S117" s="3"/>
      <c r="T117" s="3"/>
      <c r="U117" s="3"/>
      <c r="V117" s="3"/>
    </row>
    <row r="118" spans="1:22" ht="16.5">
      <c r="A118" s="5" t="s">
        <v>319</v>
      </c>
      <c r="B118" s="5" t="s">
        <v>56</v>
      </c>
      <c r="C118" s="6" t="str">
        <f t="shared" si="4"/>
        <v>Tasty New Jersey</v>
      </c>
      <c r="D118" s="5" t="s">
        <v>69</v>
      </c>
      <c r="E118" s="5">
        <f t="shared" si="5"/>
        <v>1</v>
      </c>
      <c r="F118" s="7">
        <v>31747</v>
      </c>
      <c r="G118" s="5" t="s">
        <v>58</v>
      </c>
      <c r="H118" s="5" t="s">
        <v>265</v>
      </c>
      <c r="I118" s="5">
        <f t="shared" ca="1" si="6"/>
        <v>26</v>
      </c>
      <c r="J118" s="5" t="s">
        <v>71</v>
      </c>
      <c r="K118" s="5" t="s">
        <v>61</v>
      </c>
      <c r="L118" s="7">
        <v>5080</v>
      </c>
      <c r="M118" s="7">
        <f>SUM(F118+L118)</f>
        <v>36827</v>
      </c>
      <c r="N118" s="11">
        <f t="shared" si="7"/>
        <v>0.13794227061666711</v>
      </c>
      <c r="O118" s="10" t="str">
        <f>_xlfn.XLOOKUP(A118,'Reference Data'!A:A,'Reference Data'!B:B)</f>
        <v>Plant Worker</v>
      </c>
      <c r="P118" s="10" t="str">
        <f>_xlfn.XLOOKUP(A118,'Reference Data'!A:A,'Reference Data'!C:C)</f>
        <v>M</v>
      </c>
      <c r="Q118" s="7"/>
      <c r="R118" s="3"/>
      <c r="S118" s="3"/>
      <c r="T118" s="3"/>
      <c r="U118" s="3"/>
      <c r="V118" s="3"/>
    </row>
    <row r="119" spans="1:22" ht="16.5">
      <c r="A119" s="5" t="s">
        <v>320</v>
      </c>
      <c r="B119" s="5" t="s">
        <v>56</v>
      </c>
      <c r="C119" s="6" t="str">
        <f t="shared" si="4"/>
        <v>Tasty New York</v>
      </c>
      <c r="D119" s="5" t="s">
        <v>89</v>
      </c>
      <c r="E119" s="5">
        <f t="shared" si="5"/>
        <v>0</v>
      </c>
      <c r="F119" s="7">
        <v>21999</v>
      </c>
      <c r="G119" s="5" t="s">
        <v>77</v>
      </c>
      <c r="H119" s="5" t="s">
        <v>321</v>
      </c>
      <c r="I119" s="5">
        <f t="shared" ca="1" si="6"/>
        <v>34</v>
      </c>
      <c r="J119" s="5" t="s">
        <v>91</v>
      </c>
      <c r="K119" s="5" t="s">
        <v>79</v>
      </c>
      <c r="L119" s="7">
        <v>0</v>
      </c>
      <c r="M119" s="7">
        <f>SUM(F119+L119)</f>
        <v>21999</v>
      </c>
      <c r="N119" s="11">
        <f t="shared" si="7"/>
        <v>0</v>
      </c>
      <c r="O119" s="10" t="str">
        <f>_xlfn.XLOOKUP(A119,'Reference Data'!A:A,'Reference Data'!B:B)</f>
        <v>Administrative Support</v>
      </c>
      <c r="P119" s="10" t="str">
        <f>_xlfn.XLOOKUP(A119,'Reference Data'!A:A,'Reference Data'!C:C)</f>
        <v>F</v>
      </c>
      <c r="Q119" s="7"/>
      <c r="R119" s="3"/>
      <c r="S119" s="3"/>
      <c r="T119" s="3"/>
      <c r="U119" s="3"/>
      <c r="V119" s="3"/>
    </row>
    <row r="120" spans="1:22" ht="16.5">
      <c r="A120" s="5" t="s">
        <v>322</v>
      </c>
      <c r="B120" s="5" t="s">
        <v>56</v>
      </c>
      <c r="C120" s="6" t="str">
        <f t="shared" si="4"/>
        <v>Tasty New York</v>
      </c>
      <c r="D120" s="5" t="s">
        <v>69</v>
      </c>
      <c r="E120" s="5">
        <f t="shared" si="5"/>
        <v>1</v>
      </c>
      <c r="F120" s="7">
        <v>18015</v>
      </c>
      <c r="G120" s="5" t="s">
        <v>64</v>
      </c>
      <c r="H120" s="5" t="s">
        <v>323</v>
      </c>
      <c r="I120" s="5">
        <f t="shared" ca="1" si="6"/>
        <v>34</v>
      </c>
      <c r="J120" s="5" t="s">
        <v>127</v>
      </c>
      <c r="K120" s="5" t="s">
        <v>67</v>
      </c>
      <c r="L120" s="7">
        <v>0</v>
      </c>
      <c r="M120" s="7">
        <f>SUM(F120+L120)</f>
        <v>18015</v>
      </c>
      <c r="N120" s="11">
        <f t="shared" si="7"/>
        <v>0</v>
      </c>
      <c r="O120" s="10" t="str">
        <f>_xlfn.XLOOKUP(A120,'Reference Data'!A:A,'Reference Data'!B:B)</f>
        <v>Administrative Support</v>
      </c>
      <c r="P120" s="10" t="str">
        <f>_xlfn.XLOOKUP(A120,'Reference Data'!A:A,'Reference Data'!C:C)</f>
        <v>F</v>
      </c>
      <c r="Q120" s="7"/>
    </row>
    <row r="121" spans="1:22" ht="16.5">
      <c r="A121" s="5" t="s">
        <v>324</v>
      </c>
      <c r="B121" s="5" t="s">
        <v>56</v>
      </c>
      <c r="C121" s="6" t="str">
        <f t="shared" si="4"/>
        <v>Tasty New York</v>
      </c>
      <c r="D121" s="5" t="s">
        <v>69</v>
      </c>
      <c r="E121" s="5">
        <f t="shared" si="5"/>
        <v>1</v>
      </c>
      <c r="F121" s="7">
        <v>41408</v>
      </c>
      <c r="G121" s="5" t="s">
        <v>64</v>
      </c>
      <c r="H121" s="5" t="s">
        <v>325</v>
      </c>
      <c r="I121" s="5">
        <f t="shared" ca="1" si="6"/>
        <v>30</v>
      </c>
      <c r="J121" s="5" t="s">
        <v>127</v>
      </c>
      <c r="K121" s="5" t="s">
        <v>326</v>
      </c>
      <c r="L121" s="7">
        <v>5797</v>
      </c>
      <c r="M121" s="7">
        <f>SUM(F121+L121)</f>
        <v>47205</v>
      </c>
      <c r="N121" s="11">
        <f t="shared" si="7"/>
        <v>0.1228047876284292</v>
      </c>
      <c r="O121" s="10" t="str">
        <f>_xlfn.XLOOKUP(A121,'Reference Data'!A:A,'Reference Data'!B:B)</f>
        <v>Plant Supervisor</v>
      </c>
      <c r="P121" s="10" t="str">
        <f>_xlfn.XLOOKUP(A121,'Reference Data'!A:A,'Reference Data'!C:C)</f>
        <v>F</v>
      </c>
      <c r="Q121" s="7"/>
    </row>
    <row r="122" spans="1:22" ht="16.5">
      <c r="A122" s="5" t="s">
        <v>327</v>
      </c>
      <c r="B122" s="5" t="s">
        <v>56</v>
      </c>
      <c r="C122" s="6" t="str">
        <f t="shared" si="4"/>
        <v>Tasty New York</v>
      </c>
      <c r="D122" s="5" t="s">
        <v>328</v>
      </c>
      <c r="E122" s="5">
        <f t="shared" si="5"/>
        <v>0</v>
      </c>
      <c r="F122" s="7">
        <v>138128</v>
      </c>
      <c r="G122" s="5" t="s">
        <v>77</v>
      </c>
      <c r="H122" s="5" t="s">
        <v>329</v>
      </c>
      <c r="I122" s="5">
        <f t="shared" ca="1" si="6"/>
        <v>46</v>
      </c>
      <c r="J122" s="5" t="s">
        <v>330</v>
      </c>
      <c r="K122" s="5" t="s">
        <v>61</v>
      </c>
      <c r="L122" s="7">
        <v>0</v>
      </c>
      <c r="M122" s="7">
        <f>SUM(F122+L122)</f>
        <v>138128</v>
      </c>
      <c r="N122" s="11">
        <f t="shared" si="7"/>
        <v>0</v>
      </c>
      <c r="O122" s="10" t="str">
        <f>_xlfn.XLOOKUP(A122,'Reference Data'!A:A,'Reference Data'!B:B)</f>
        <v>Sales Leader</v>
      </c>
      <c r="P122" s="10" t="str">
        <f>_xlfn.XLOOKUP(A122,'Reference Data'!A:A,'Reference Data'!C:C)</f>
        <v>M</v>
      </c>
      <c r="Q122" s="7"/>
      <c r="R122" s="3"/>
      <c r="S122" s="3"/>
      <c r="T122" s="3"/>
      <c r="U122" s="3"/>
      <c r="V122" s="3"/>
    </row>
    <row r="123" spans="1:22" ht="16.5">
      <c r="A123" s="5" t="s">
        <v>331</v>
      </c>
      <c r="B123" s="5" t="s">
        <v>56</v>
      </c>
      <c r="C123" s="6" t="str">
        <f t="shared" si="4"/>
        <v>Tasty New York</v>
      </c>
      <c r="D123" s="5" t="s">
        <v>89</v>
      </c>
      <c r="E123" s="5">
        <f t="shared" si="5"/>
        <v>0</v>
      </c>
      <c r="F123" s="7">
        <v>30439</v>
      </c>
      <c r="G123" s="5" t="s">
        <v>77</v>
      </c>
      <c r="H123" s="5" t="s">
        <v>206</v>
      </c>
      <c r="I123" s="5">
        <f t="shared" ca="1" si="6"/>
        <v>27</v>
      </c>
      <c r="J123" s="5" t="s">
        <v>91</v>
      </c>
      <c r="K123" s="5" t="s">
        <v>79</v>
      </c>
      <c r="L123" s="7">
        <v>0</v>
      </c>
      <c r="M123" s="7">
        <f>SUM(F123+L123)</f>
        <v>30439</v>
      </c>
      <c r="N123" s="11">
        <f t="shared" si="7"/>
        <v>0</v>
      </c>
      <c r="O123" s="10" t="str">
        <f>_xlfn.XLOOKUP(A123,'Reference Data'!A:A,'Reference Data'!B:B)</f>
        <v>Administrative Support</v>
      </c>
      <c r="P123" s="10" t="str">
        <f>_xlfn.XLOOKUP(A123,'Reference Data'!A:A,'Reference Data'!C:C)</f>
        <v>F</v>
      </c>
      <c r="Q123" s="7"/>
    </row>
    <row r="124" spans="1:22" ht="16.5">
      <c r="A124" s="5" t="s">
        <v>332</v>
      </c>
      <c r="B124" s="5" t="s">
        <v>56</v>
      </c>
      <c r="C124" s="6" t="str">
        <f t="shared" si="4"/>
        <v>Tasty New York</v>
      </c>
      <c r="D124" s="5" t="s">
        <v>57</v>
      </c>
      <c r="E124" s="5">
        <f t="shared" si="5"/>
        <v>1</v>
      </c>
      <c r="F124" s="7">
        <v>70123</v>
      </c>
      <c r="G124" s="5" t="s">
        <v>64</v>
      </c>
      <c r="H124" s="5" t="s">
        <v>333</v>
      </c>
      <c r="I124" s="5">
        <f t="shared" ca="1" si="6"/>
        <v>29</v>
      </c>
      <c r="J124" s="5" t="s">
        <v>96</v>
      </c>
      <c r="K124" s="5" t="s">
        <v>67</v>
      </c>
      <c r="L124" s="7">
        <v>9817</v>
      </c>
      <c r="M124" s="7">
        <f>SUM(F124+L124)</f>
        <v>79940</v>
      </c>
      <c r="N124" s="11">
        <f t="shared" si="7"/>
        <v>0.12280460345258944</v>
      </c>
      <c r="O124" s="10" t="str">
        <f>_xlfn.XLOOKUP(A124,'Reference Data'!A:A,'Reference Data'!B:B)</f>
        <v>Plant Supervisor</v>
      </c>
      <c r="P124" s="10" t="str">
        <f>_xlfn.XLOOKUP(A124,'Reference Data'!A:A,'Reference Data'!C:C)</f>
        <v>M</v>
      </c>
      <c r="Q124" s="7"/>
    </row>
    <row r="125" spans="1:22" ht="16.5">
      <c r="A125" s="5" t="s">
        <v>334</v>
      </c>
      <c r="B125" s="5" t="s">
        <v>56</v>
      </c>
      <c r="C125" s="6" t="str">
        <f t="shared" si="4"/>
        <v>Tasty New Jersey</v>
      </c>
      <c r="D125" s="5" t="s">
        <v>89</v>
      </c>
      <c r="E125" s="5">
        <f t="shared" si="5"/>
        <v>0</v>
      </c>
      <c r="F125" s="7">
        <v>20122</v>
      </c>
      <c r="G125" s="5" t="s">
        <v>58</v>
      </c>
      <c r="H125" s="5" t="s">
        <v>335</v>
      </c>
      <c r="I125" s="5">
        <f t="shared" ca="1" si="6"/>
        <v>25</v>
      </c>
      <c r="J125" s="5" t="s">
        <v>91</v>
      </c>
      <c r="K125" s="5" t="s">
        <v>118</v>
      </c>
      <c r="L125" s="7">
        <v>0</v>
      </c>
      <c r="M125" s="7">
        <f>SUM(F125+L125)</f>
        <v>20122</v>
      </c>
      <c r="N125" s="11">
        <f t="shared" si="7"/>
        <v>0</v>
      </c>
      <c r="O125" s="10" t="str">
        <f>_xlfn.XLOOKUP(A125,'Reference Data'!A:A,'Reference Data'!B:B)</f>
        <v>Administrative Support</v>
      </c>
      <c r="P125" s="10" t="str">
        <f>_xlfn.XLOOKUP(A125,'Reference Data'!A:A,'Reference Data'!C:C)</f>
        <v>M</v>
      </c>
      <c r="Q125" s="7"/>
      <c r="R125" s="3"/>
      <c r="S125" s="3"/>
      <c r="T125" s="3"/>
      <c r="U125" s="3"/>
      <c r="V125" s="3"/>
    </row>
    <row r="126" spans="1:22" ht="16.5">
      <c r="A126" s="5" t="s">
        <v>336</v>
      </c>
      <c r="B126" s="5" t="s">
        <v>56</v>
      </c>
      <c r="C126" s="6" t="str">
        <f t="shared" si="4"/>
        <v>Tasty New York</v>
      </c>
      <c r="D126" s="5" t="s">
        <v>89</v>
      </c>
      <c r="E126" s="5">
        <f t="shared" si="5"/>
        <v>0</v>
      </c>
      <c r="F126" s="7">
        <v>32389</v>
      </c>
      <c r="G126" s="5" t="s">
        <v>77</v>
      </c>
      <c r="H126" s="5" t="s">
        <v>285</v>
      </c>
      <c r="I126" s="5">
        <f t="shared" ca="1" si="6"/>
        <v>27</v>
      </c>
      <c r="J126" s="5" t="s">
        <v>91</v>
      </c>
      <c r="K126" s="5" t="s">
        <v>79</v>
      </c>
      <c r="L126" s="7">
        <v>0</v>
      </c>
      <c r="M126" s="7">
        <f>SUM(F126+L126)</f>
        <v>32389</v>
      </c>
      <c r="N126" s="11">
        <f t="shared" si="7"/>
        <v>0</v>
      </c>
      <c r="O126" s="10" t="str">
        <f>_xlfn.XLOOKUP(A126,'Reference Data'!A:A,'Reference Data'!B:B)</f>
        <v>Administrative Support</v>
      </c>
      <c r="P126" s="10" t="str">
        <f>_xlfn.XLOOKUP(A126,'Reference Data'!A:A,'Reference Data'!C:C)</f>
        <v>F</v>
      </c>
      <c r="Q126" s="7"/>
    </row>
    <row r="127" spans="1:22" ht="16.5">
      <c r="A127" s="5" t="s">
        <v>337</v>
      </c>
      <c r="B127" s="5" t="s">
        <v>56</v>
      </c>
      <c r="C127" s="6" t="str">
        <f t="shared" si="4"/>
        <v>Tasty New York</v>
      </c>
      <c r="D127" s="5" t="s">
        <v>69</v>
      </c>
      <c r="E127" s="5">
        <f t="shared" si="5"/>
        <v>1</v>
      </c>
      <c r="F127" s="7">
        <v>49130</v>
      </c>
      <c r="G127" s="5" t="s">
        <v>64</v>
      </c>
      <c r="H127" s="5" t="s">
        <v>242</v>
      </c>
      <c r="I127" s="5">
        <f t="shared" ca="1" si="6"/>
        <v>24</v>
      </c>
      <c r="J127" s="5" t="s">
        <v>127</v>
      </c>
      <c r="K127" s="5" t="s">
        <v>326</v>
      </c>
      <c r="L127" s="7">
        <v>0</v>
      </c>
      <c r="M127" s="7">
        <f>SUM(F127+L127)</f>
        <v>49130</v>
      </c>
      <c r="N127" s="11">
        <f t="shared" si="7"/>
        <v>0</v>
      </c>
      <c r="O127" s="10" t="str">
        <f>_xlfn.XLOOKUP(A127,'Reference Data'!A:A,'Reference Data'!B:B)</f>
        <v>Plant Supervisor</v>
      </c>
      <c r="P127" s="10" t="str">
        <f>_xlfn.XLOOKUP(A127,'Reference Data'!A:A,'Reference Data'!C:C)</f>
        <v>M</v>
      </c>
      <c r="Q127" s="7"/>
    </row>
    <row r="128" spans="1:22" ht="16.5">
      <c r="A128" s="5" t="s">
        <v>338</v>
      </c>
      <c r="B128" s="5" t="s">
        <v>56</v>
      </c>
      <c r="C128" s="6" t="str">
        <f t="shared" si="4"/>
        <v>Tasty New York</v>
      </c>
      <c r="D128" s="5" t="s">
        <v>69</v>
      </c>
      <c r="E128" s="5">
        <f t="shared" si="5"/>
        <v>1</v>
      </c>
      <c r="F128" s="7">
        <v>46967</v>
      </c>
      <c r="G128" s="5" t="s">
        <v>64</v>
      </c>
      <c r="H128" s="5" t="s">
        <v>339</v>
      </c>
      <c r="I128" s="5">
        <f t="shared" ca="1" si="6"/>
        <v>24</v>
      </c>
      <c r="J128" s="5" t="s">
        <v>127</v>
      </c>
      <c r="K128" s="5" t="s">
        <v>67</v>
      </c>
      <c r="L128" s="7">
        <v>0</v>
      </c>
      <c r="M128" s="7">
        <f>SUM(F128+L128)</f>
        <v>46967</v>
      </c>
      <c r="N128" s="11">
        <f t="shared" si="7"/>
        <v>0</v>
      </c>
      <c r="O128" s="10" t="str">
        <f>_xlfn.XLOOKUP(A128,'Reference Data'!A:A,'Reference Data'!B:B)</f>
        <v>Plant Supervisor</v>
      </c>
      <c r="P128" s="10" t="str">
        <f>_xlfn.XLOOKUP(A128,'Reference Data'!A:A,'Reference Data'!C:C)</f>
        <v>M</v>
      </c>
      <c r="Q128" s="7"/>
    </row>
    <row r="129" spans="1:22" ht="16.5">
      <c r="A129" s="5" t="s">
        <v>340</v>
      </c>
      <c r="B129" s="5" t="s">
        <v>56</v>
      </c>
      <c r="C129" s="6" t="str">
        <f t="shared" si="4"/>
        <v>Tasty New York</v>
      </c>
      <c r="D129" s="5" t="s">
        <v>69</v>
      </c>
      <c r="E129" s="5">
        <f t="shared" si="5"/>
        <v>1</v>
      </c>
      <c r="F129" s="7">
        <v>34853</v>
      </c>
      <c r="G129" s="5" t="s">
        <v>64</v>
      </c>
      <c r="H129" s="5" t="s">
        <v>341</v>
      </c>
      <c r="I129" s="5">
        <f t="shared" ca="1" si="6"/>
        <v>24</v>
      </c>
      <c r="J129" s="5" t="s">
        <v>127</v>
      </c>
      <c r="K129" s="5" t="s">
        <v>132</v>
      </c>
      <c r="L129" s="7">
        <v>5228</v>
      </c>
      <c r="M129" s="7">
        <f>SUM(F129+L129)</f>
        <v>40081</v>
      </c>
      <c r="N129" s="11">
        <f t="shared" si="7"/>
        <v>0.13043586736857862</v>
      </c>
      <c r="O129" s="10" t="str">
        <f>_xlfn.XLOOKUP(A129,'Reference Data'!A:A,'Reference Data'!B:B)</f>
        <v>Plant Worker</v>
      </c>
      <c r="P129" s="10" t="str">
        <f>_xlfn.XLOOKUP(A129,'Reference Data'!A:A,'Reference Data'!C:C)</f>
        <v>M</v>
      </c>
      <c r="Q129" s="7"/>
    </row>
    <row r="130" spans="1:22" ht="16.5">
      <c r="A130" s="5" t="s">
        <v>342</v>
      </c>
      <c r="B130" s="5" t="s">
        <v>56</v>
      </c>
      <c r="C130" s="6" t="str">
        <f t="shared" ref="C130:C193" si="8">IF(G130="NJ","Tasty New Jersey",B130)</f>
        <v>Tasty New Jersey</v>
      </c>
      <c r="D130" s="5" t="s">
        <v>69</v>
      </c>
      <c r="E130" s="5">
        <f t="shared" ref="E130:E193" si="9">IF(LEFT(D130,5)="Tasty",1,0)</f>
        <v>1</v>
      </c>
      <c r="F130" s="7">
        <v>39254</v>
      </c>
      <c r="G130" s="5" t="s">
        <v>58</v>
      </c>
      <c r="H130" s="5" t="s">
        <v>333</v>
      </c>
      <c r="I130" s="5">
        <f t="shared" ref="I130:I193" ca="1" si="10">YEAR(TODAY())-YEAR(H130)</f>
        <v>29</v>
      </c>
      <c r="J130" s="5" t="s">
        <v>71</v>
      </c>
      <c r="K130" s="5" t="s">
        <v>75</v>
      </c>
      <c r="L130" s="7">
        <v>5496</v>
      </c>
      <c r="M130" s="7">
        <f>SUM(F130+L130)</f>
        <v>44750</v>
      </c>
      <c r="N130" s="11">
        <f t="shared" ref="N130:N193" si="11">L130/M130</f>
        <v>0.12281564245810056</v>
      </c>
      <c r="O130" s="10" t="str">
        <f>_xlfn.XLOOKUP(A130,'Reference Data'!A:A,'Reference Data'!B:B)</f>
        <v>Plant Worker</v>
      </c>
      <c r="P130" s="10" t="str">
        <f>_xlfn.XLOOKUP(A130,'Reference Data'!A:A,'Reference Data'!C:C)</f>
        <v>M</v>
      </c>
      <c r="Q130" s="7"/>
      <c r="R130" s="3"/>
      <c r="S130" s="3"/>
      <c r="T130" s="3"/>
      <c r="U130" s="3"/>
      <c r="V130" s="3"/>
    </row>
    <row r="131" spans="1:22" ht="16.5">
      <c r="A131" s="5" t="s">
        <v>343</v>
      </c>
      <c r="B131" s="5" t="s">
        <v>56</v>
      </c>
      <c r="C131" s="6" t="str">
        <f t="shared" si="8"/>
        <v>Tasty New York</v>
      </c>
      <c r="D131" s="5" t="s">
        <v>89</v>
      </c>
      <c r="E131" s="5">
        <f t="shared" si="9"/>
        <v>0</v>
      </c>
      <c r="F131" s="7">
        <v>115972</v>
      </c>
      <c r="G131" s="5" t="s">
        <v>77</v>
      </c>
      <c r="H131" s="5" t="s">
        <v>155</v>
      </c>
      <c r="I131" s="5">
        <f t="shared" ca="1" si="10"/>
        <v>25</v>
      </c>
      <c r="J131" s="5" t="s">
        <v>91</v>
      </c>
      <c r="K131" s="5" t="s">
        <v>79</v>
      </c>
      <c r="L131" s="7">
        <v>9278</v>
      </c>
      <c r="M131" s="7">
        <f>SUM(F131+L131)</f>
        <v>125250</v>
      </c>
      <c r="N131" s="11">
        <f t="shared" si="11"/>
        <v>7.4075848303393213E-2</v>
      </c>
      <c r="O131" s="10" t="str">
        <f>_xlfn.XLOOKUP(A131,'Reference Data'!A:A,'Reference Data'!B:B)</f>
        <v>Plant Manager</v>
      </c>
      <c r="P131" s="10" t="str">
        <f>_xlfn.XLOOKUP(A131,'Reference Data'!A:A,'Reference Data'!C:C)</f>
        <v>F</v>
      </c>
      <c r="Q131" s="7"/>
      <c r="R131" s="3"/>
      <c r="S131" s="3"/>
      <c r="T131" s="3"/>
      <c r="U131" s="3"/>
      <c r="V131" s="3"/>
    </row>
    <row r="132" spans="1:22" ht="16.5">
      <c r="A132" s="5" t="s">
        <v>344</v>
      </c>
      <c r="B132" s="5" t="s">
        <v>56</v>
      </c>
      <c r="C132" s="6" t="str">
        <f t="shared" si="8"/>
        <v>Tasty New York</v>
      </c>
      <c r="D132" s="5" t="s">
        <v>89</v>
      </c>
      <c r="E132" s="5">
        <f t="shared" si="9"/>
        <v>0</v>
      </c>
      <c r="F132" s="7">
        <v>57465</v>
      </c>
      <c r="G132" s="5" t="s">
        <v>113</v>
      </c>
      <c r="H132" s="5" t="s">
        <v>345</v>
      </c>
      <c r="I132" s="5">
        <f t="shared" ca="1" si="10"/>
        <v>23</v>
      </c>
      <c r="J132" s="5" t="s">
        <v>91</v>
      </c>
      <c r="K132" s="5" t="s">
        <v>115</v>
      </c>
      <c r="L132" s="7">
        <v>8620</v>
      </c>
      <c r="M132" s="7">
        <f>SUM(F132+L132)</f>
        <v>66085</v>
      </c>
      <c r="N132" s="11">
        <f t="shared" si="11"/>
        <v>0.13043807217976847</v>
      </c>
      <c r="O132" s="10" t="str">
        <f>_xlfn.XLOOKUP(A132,'Reference Data'!A:A,'Reference Data'!B:B)</f>
        <v>Plant Worker</v>
      </c>
      <c r="P132" s="10" t="str">
        <f>_xlfn.XLOOKUP(A132,'Reference Data'!A:A,'Reference Data'!C:C)</f>
        <v>F</v>
      </c>
      <c r="Q132" s="7"/>
      <c r="R132" s="3"/>
      <c r="S132" s="3"/>
      <c r="T132" s="3"/>
      <c r="U132" s="3"/>
      <c r="V132" s="3"/>
    </row>
    <row r="133" spans="1:22" ht="16.5">
      <c r="A133" s="5" t="s">
        <v>346</v>
      </c>
      <c r="B133" s="5" t="s">
        <v>56</v>
      </c>
      <c r="C133" s="6" t="str">
        <f t="shared" si="8"/>
        <v>Tasty New York</v>
      </c>
      <c r="D133" s="5" t="s">
        <v>89</v>
      </c>
      <c r="E133" s="5">
        <f t="shared" si="9"/>
        <v>0</v>
      </c>
      <c r="F133" s="7">
        <v>32695</v>
      </c>
      <c r="G133" s="5" t="s">
        <v>64</v>
      </c>
      <c r="H133" s="5" t="s">
        <v>347</v>
      </c>
      <c r="I133" s="5">
        <f t="shared" ca="1" si="10"/>
        <v>23</v>
      </c>
      <c r="J133" s="5" t="s">
        <v>91</v>
      </c>
      <c r="K133" s="5" t="s">
        <v>82</v>
      </c>
      <c r="L133" s="7">
        <v>0</v>
      </c>
      <c r="M133" s="7">
        <f>SUM(F133+L133)</f>
        <v>32695</v>
      </c>
      <c r="N133" s="11">
        <f t="shared" si="11"/>
        <v>0</v>
      </c>
      <c r="O133" s="10" t="str">
        <f>_xlfn.XLOOKUP(A133,'Reference Data'!A:A,'Reference Data'!B:B)</f>
        <v>Administrative Support</v>
      </c>
      <c r="P133" s="10" t="str">
        <f>_xlfn.XLOOKUP(A133,'Reference Data'!A:A,'Reference Data'!C:C)</f>
        <v>F</v>
      </c>
      <c r="Q133" s="7"/>
      <c r="R133" s="3"/>
      <c r="S133" s="3"/>
      <c r="T133" s="3"/>
      <c r="U133" s="3"/>
      <c r="V133" s="3"/>
    </row>
    <row r="134" spans="1:22" ht="16.5">
      <c r="A134" s="5" t="s">
        <v>348</v>
      </c>
      <c r="B134" s="5" t="s">
        <v>56</v>
      </c>
      <c r="C134" s="6" t="str">
        <f t="shared" si="8"/>
        <v>Tasty New York</v>
      </c>
      <c r="D134" s="5" t="s">
        <v>69</v>
      </c>
      <c r="E134" s="5">
        <f t="shared" si="9"/>
        <v>1</v>
      </c>
      <c r="F134" s="7">
        <v>75760</v>
      </c>
      <c r="G134" s="5" t="s">
        <v>64</v>
      </c>
      <c r="H134" s="5" t="s">
        <v>242</v>
      </c>
      <c r="I134" s="5">
        <f t="shared" ca="1" si="10"/>
        <v>24</v>
      </c>
      <c r="J134" s="5" t="s">
        <v>127</v>
      </c>
      <c r="K134" s="5" t="s">
        <v>67</v>
      </c>
      <c r="L134" s="7">
        <v>11364</v>
      </c>
      <c r="M134" s="7">
        <f>SUM(F134+L134)</f>
        <v>87124</v>
      </c>
      <c r="N134" s="11">
        <f t="shared" si="11"/>
        <v>0.13043478260869565</v>
      </c>
      <c r="O134" s="10" t="str">
        <f>_xlfn.XLOOKUP(A134,'Reference Data'!A:A,'Reference Data'!B:B)</f>
        <v>Plant Manager</v>
      </c>
      <c r="P134" s="10" t="str">
        <f>_xlfn.XLOOKUP(A134,'Reference Data'!A:A,'Reference Data'!C:C)</f>
        <v>M</v>
      </c>
      <c r="Q134" s="7"/>
    </row>
    <row r="135" spans="1:22" ht="16.5">
      <c r="A135" s="5" t="s">
        <v>349</v>
      </c>
      <c r="B135" s="5" t="s">
        <v>56</v>
      </c>
      <c r="C135" s="6" t="str">
        <f t="shared" si="8"/>
        <v>Tasty New Jersey</v>
      </c>
      <c r="D135" s="5" t="s">
        <v>69</v>
      </c>
      <c r="E135" s="5">
        <f t="shared" si="9"/>
        <v>1</v>
      </c>
      <c r="F135" s="7">
        <v>32208</v>
      </c>
      <c r="G135" s="5" t="s">
        <v>58</v>
      </c>
      <c r="H135" s="5" t="s">
        <v>265</v>
      </c>
      <c r="I135" s="5">
        <f t="shared" ca="1" si="10"/>
        <v>26</v>
      </c>
      <c r="J135" s="5" t="s">
        <v>71</v>
      </c>
      <c r="K135" s="5" t="s">
        <v>75</v>
      </c>
      <c r="L135" s="7">
        <v>5797</v>
      </c>
      <c r="M135" s="7">
        <f>SUM(F135+L135)</f>
        <v>38005</v>
      </c>
      <c r="N135" s="11">
        <f t="shared" si="11"/>
        <v>0.15253256150506511</v>
      </c>
      <c r="O135" s="10" t="str">
        <f>_xlfn.XLOOKUP(A135,'Reference Data'!A:A,'Reference Data'!B:B)</f>
        <v>Plant Worker</v>
      </c>
      <c r="P135" s="10" t="str">
        <f>_xlfn.XLOOKUP(A135,'Reference Data'!A:A,'Reference Data'!C:C)</f>
        <v>M</v>
      </c>
      <c r="Q135" s="7"/>
      <c r="R135" s="3"/>
      <c r="S135" s="3"/>
      <c r="T135" s="3"/>
      <c r="U135" s="3"/>
      <c r="V135" s="3"/>
    </row>
    <row r="136" spans="1:22" ht="16.5">
      <c r="A136" s="5" t="s">
        <v>350</v>
      </c>
      <c r="B136" s="5" t="s">
        <v>56</v>
      </c>
      <c r="C136" s="6" t="str">
        <f t="shared" si="8"/>
        <v>Tasty New Jersey</v>
      </c>
      <c r="D136" s="5" t="s">
        <v>69</v>
      </c>
      <c r="E136" s="5">
        <f t="shared" si="9"/>
        <v>1</v>
      </c>
      <c r="F136" s="7">
        <v>39950</v>
      </c>
      <c r="G136" s="5" t="s">
        <v>58</v>
      </c>
      <c r="H136" s="5" t="s">
        <v>273</v>
      </c>
      <c r="I136" s="5">
        <f t="shared" ca="1" si="10"/>
        <v>25</v>
      </c>
      <c r="J136" s="5" t="s">
        <v>71</v>
      </c>
      <c r="K136" s="5" t="s">
        <v>61</v>
      </c>
      <c r="L136" s="7">
        <v>7191</v>
      </c>
      <c r="M136" s="7">
        <f>SUM(F136+L136)</f>
        <v>47141</v>
      </c>
      <c r="N136" s="11">
        <f t="shared" si="11"/>
        <v>0.15254237288135594</v>
      </c>
      <c r="O136" s="10" t="str">
        <f>_xlfn.XLOOKUP(A136,'Reference Data'!A:A,'Reference Data'!B:B)</f>
        <v>Plant Worker</v>
      </c>
      <c r="P136" s="10" t="str">
        <f>_xlfn.XLOOKUP(A136,'Reference Data'!A:A,'Reference Data'!C:C)</f>
        <v>F</v>
      </c>
      <c r="Q136" s="7"/>
      <c r="R136" s="3"/>
      <c r="S136" s="3"/>
      <c r="T136" s="3"/>
      <c r="U136" s="3"/>
      <c r="V136" s="3"/>
    </row>
    <row r="137" spans="1:22" ht="16.5">
      <c r="A137" s="5" t="s">
        <v>351</v>
      </c>
      <c r="B137" s="5" t="s">
        <v>56</v>
      </c>
      <c r="C137" s="6" t="str">
        <f t="shared" si="8"/>
        <v>Tasty New York</v>
      </c>
      <c r="D137" s="5" t="s">
        <v>69</v>
      </c>
      <c r="E137" s="5">
        <f t="shared" si="9"/>
        <v>1</v>
      </c>
      <c r="F137" s="7">
        <v>25188</v>
      </c>
      <c r="G137" s="5" t="s">
        <v>64</v>
      </c>
      <c r="H137" s="5" t="s">
        <v>352</v>
      </c>
      <c r="I137" s="5">
        <f t="shared" ca="1" si="10"/>
        <v>20</v>
      </c>
      <c r="J137" s="5" t="s">
        <v>127</v>
      </c>
      <c r="K137" s="5" t="s">
        <v>67</v>
      </c>
      <c r="L137" s="7">
        <v>0</v>
      </c>
      <c r="M137" s="7">
        <f>SUM(F137+L137)</f>
        <v>25188</v>
      </c>
      <c r="N137" s="11">
        <f t="shared" si="11"/>
        <v>0</v>
      </c>
      <c r="O137" s="10" t="str">
        <f>_xlfn.XLOOKUP(A137,'Reference Data'!A:A,'Reference Data'!B:B)</f>
        <v>Administrative Support</v>
      </c>
      <c r="P137" s="10" t="str">
        <f>_xlfn.XLOOKUP(A137,'Reference Data'!A:A,'Reference Data'!C:C)</f>
        <v>F</v>
      </c>
      <c r="Q137" s="7"/>
      <c r="R137" s="3"/>
      <c r="S137" s="3"/>
      <c r="T137" s="3"/>
      <c r="U137" s="3"/>
      <c r="V137" s="3"/>
    </row>
    <row r="138" spans="1:22" ht="16.5">
      <c r="A138" s="5" t="s">
        <v>353</v>
      </c>
      <c r="B138" s="5" t="s">
        <v>56</v>
      </c>
      <c r="C138" s="6" t="str">
        <f t="shared" si="8"/>
        <v>Tasty New York</v>
      </c>
      <c r="D138" s="5" t="s">
        <v>328</v>
      </c>
      <c r="E138" s="5">
        <f t="shared" si="9"/>
        <v>0</v>
      </c>
      <c r="F138" s="7">
        <v>27605</v>
      </c>
      <c r="G138" s="5" t="s">
        <v>64</v>
      </c>
      <c r="H138" s="5" t="s">
        <v>347</v>
      </c>
      <c r="I138" s="5">
        <f t="shared" ca="1" si="10"/>
        <v>23</v>
      </c>
      <c r="J138" s="5" t="s">
        <v>330</v>
      </c>
      <c r="K138" s="5" t="s">
        <v>61</v>
      </c>
      <c r="L138" s="7">
        <v>0</v>
      </c>
      <c r="M138" s="7">
        <f>SUM(F138+L138)</f>
        <v>27605</v>
      </c>
      <c r="N138" s="11">
        <f t="shared" si="11"/>
        <v>0</v>
      </c>
      <c r="O138" s="10" t="str">
        <f>_xlfn.XLOOKUP(A138,'Reference Data'!A:A,'Reference Data'!B:B)</f>
        <v>Sales Assistance</v>
      </c>
      <c r="P138" s="10" t="str">
        <f>_xlfn.XLOOKUP(A138,'Reference Data'!A:A,'Reference Data'!C:C)</f>
        <v>M</v>
      </c>
      <c r="Q138" s="7"/>
    </row>
    <row r="139" spans="1:22" ht="16.5">
      <c r="A139" s="5" t="s">
        <v>354</v>
      </c>
      <c r="B139" s="5" t="s">
        <v>56</v>
      </c>
      <c r="C139" s="6" t="str">
        <f t="shared" si="8"/>
        <v>Tasty New York</v>
      </c>
      <c r="D139" s="5" t="s">
        <v>89</v>
      </c>
      <c r="E139" s="5">
        <f t="shared" si="9"/>
        <v>0</v>
      </c>
      <c r="F139" s="7">
        <v>42870</v>
      </c>
      <c r="G139" s="5" t="s">
        <v>113</v>
      </c>
      <c r="H139" s="5" t="s">
        <v>355</v>
      </c>
      <c r="I139" s="5">
        <f t="shared" ca="1" si="10"/>
        <v>22</v>
      </c>
      <c r="J139" s="5" t="s">
        <v>91</v>
      </c>
      <c r="K139" s="5" t="s">
        <v>115</v>
      </c>
      <c r="L139" s="7">
        <v>19292</v>
      </c>
      <c r="M139" s="7">
        <f>SUM(F139+L139)</f>
        <v>62162</v>
      </c>
      <c r="N139" s="11">
        <f t="shared" si="11"/>
        <v>0.31035037482706479</v>
      </c>
      <c r="O139" s="10" t="str">
        <f>_xlfn.XLOOKUP(A139,'Reference Data'!A:A,'Reference Data'!B:B)</f>
        <v>Plant Worker</v>
      </c>
      <c r="P139" s="10" t="str">
        <f>_xlfn.XLOOKUP(A139,'Reference Data'!A:A,'Reference Data'!C:C)</f>
        <v>M</v>
      </c>
      <c r="Q139" s="7"/>
    </row>
    <row r="140" spans="1:22" ht="16.5">
      <c r="A140" s="5" t="s">
        <v>356</v>
      </c>
      <c r="B140" s="5" t="s">
        <v>56</v>
      </c>
      <c r="C140" s="6" t="str">
        <f t="shared" si="8"/>
        <v>Tasty New Jersey</v>
      </c>
      <c r="D140" s="5" t="s">
        <v>57</v>
      </c>
      <c r="E140" s="5">
        <f t="shared" si="9"/>
        <v>1</v>
      </c>
      <c r="F140" s="7">
        <v>35737</v>
      </c>
      <c r="G140" s="5" t="s">
        <v>58</v>
      </c>
      <c r="H140" s="5" t="s">
        <v>357</v>
      </c>
      <c r="I140" s="5">
        <f t="shared" ca="1" si="10"/>
        <v>27</v>
      </c>
      <c r="J140" s="5" t="s">
        <v>251</v>
      </c>
      <c r="K140" s="5" t="s">
        <v>140</v>
      </c>
      <c r="L140" s="7">
        <v>5718</v>
      </c>
      <c r="M140" s="7">
        <f>SUM(F140+L140)</f>
        <v>41455</v>
      </c>
      <c r="N140" s="11">
        <f t="shared" si="11"/>
        <v>0.13793269810638042</v>
      </c>
      <c r="O140" s="10" t="str">
        <f>_xlfn.XLOOKUP(A140,'Reference Data'!A:A,'Reference Data'!B:B)</f>
        <v>Plant Worker</v>
      </c>
      <c r="P140" s="10" t="str">
        <f>_xlfn.XLOOKUP(A140,'Reference Data'!A:A,'Reference Data'!C:C)</f>
        <v>M</v>
      </c>
      <c r="Q140" s="7"/>
      <c r="R140" s="3"/>
      <c r="S140" s="3"/>
      <c r="T140" s="3"/>
      <c r="U140" s="3"/>
      <c r="V140" s="3"/>
    </row>
    <row r="141" spans="1:22" ht="16.5">
      <c r="A141" s="5" t="s">
        <v>358</v>
      </c>
      <c r="B141" s="5" t="s">
        <v>56</v>
      </c>
      <c r="C141" s="6" t="str">
        <f t="shared" si="8"/>
        <v>Tasty New Jersey</v>
      </c>
      <c r="D141" s="5" t="s">
        <v>69</v>
      </c>
      <c r="E141" s="5">
        <f t="shared" si="9"/>
        <v>1</v>
      </c>
      <c r="F141" s="7">
        <v>36384</v>
      </c>
      <c r="G141" s="5" t="s">
        <v>58</v>
      </c>
      <c r="H141" s="5" t="s">
        <v>359</v>
      </c>
      <c r="I141" s="5">
        <f t="shared" ca="1" si="10"/>
        <v>25</v>
      </c>
      <c r="J141" s="5" t="s">
        <v>71</v>
      </c>
      <c r="K141" s="5" t="s">
        <v>61</v>
      </c>
      <c r="L141" s="7">
        <v>5094</v>
      </c>
      <c r="M141" s="7">
        <f>SUM(F141+L141)</f>
        <v>41478</v>
      </c>
      <c r="N141" s="11">
        <f t="shared" si="11"/>
        <v>0.1228120931578186</v>
      </c>
      <c r="O141" s="10" t="str">
        <f>_xlfn.XLOOKUP(A141,'Reference Data'!A:A,'Reference Data'!B:B)</f>
        <v>Plant Worker</v>
      </c>
      <c r="P141" s="10" t="str">
        <f>_xlfn.XLOOKUP(A141,'Reference Data'!A:A,'Reference Data'!C:C)</f>
        <v>M</v>
      </c>
      <c r="Q141" s="7"/>
      <c r="R141" s="3"/>
      <c r="S141" s="3"/>
      <c r="T141" s="3"/>
      <c r="U141" s="3"/>
      <c r="V141" s="3"/>
    </row>
    <row r="142" spans="1:22" ht="16.5">
      <c r="A142" s="5" t="s">
        <v>360</v>
      </c>
      <c r="B142" s="5" t="s">
        <v>56</v>
      </c>
      <c r="C142" s="6" t="str">
        <f t="shared" si="8"/>
        <v>Tasty New York</v>
      </c>
      <c r="D142" s="5" t="s">
        <v>69</v>
      </c>
      <c r="E142" s="5">
        <f t="shared" si="9"/>
        <v>1</v>
      </c>
      <c r="F142" s="7">
        <v>48463</v>
      </c>
      <c r="G142" s="5" t="s">
        <v>64</v>
      </c>
      <c r="H142" s="5" t="s">
        <v>146</v>
      </c>
      <c r="I142" s="5">
        <f t="shared" ca="1" si="10"/>
        <v>20</v>
      </c>
      <c r="J142" s="5" t="s">
        <v>127</v>
      </c>
      <c r="K142" s="5" t="s">
        <v>361</v>
      </c>
      <c r="L142" s="7">
        <v>5816</v>
      </c>
      <c r="M142" s="7">
        <f>SUM(F142+L142)</f>
        <v>54279</v>
      </c>
      <c r="N142" s="11">
        <f t="shared" si="11"/>
        <v>0.10715009488015623</v>
      </c>
      <c r="O142" s="10" t="str">
        <f>_xlfn.XLOOKUP(A142,'Reference Data'!A:A,'Reference Data'!B:B)</f>
        <v>Plant Supervisor</v>
      </c>
      <c r="P142" s="10" t="str">
        <f>_xlfn.XLOOKUP(A142,'Reference Data'!A:A,'Reference Data'!C:C)</f>
        <v>M</v>
      </c>
      <c r="Q142" s="7"/>
      <c r="R142" s="3"/>
      <c r="S142" s="3"/>
      <c r="T142" s="3"/>
      <c r="U142" s="3"/>
      <c r="V142" s="3"/>
    </row>
    <row r="143" spans="1:22" ht="16.5">
      <c r="A143" s="5" t="s">
        <v>362</v>
      </c>
      <c r="B143" s="5" t="s">
        <v>56</v>
      </c>
      <c r="C143" s="6" t="str">
        <f t="shared" si="8"/>
        <v>Tasty New York</v>
      </c>
      <c r="D143" s="5" t="s">
        <v>129</v>
      </c>
      <c r="E143" s="5">
        <f t="shared" si="9"/>
        <v>1</v>
      </c>
      <c r="F143" s="7">
        <v>50611</v>
      </c>
      <c r="G143" s="5" t="s">
        <v>64</v>
      </c>
      <c r="H143" s="5" t="s">
        <v>291</v>
      </c>
      <c r="I143" s="5">
        <f t="shared" ca="1" si="10"/>
        <v>21</v>
      </c>
      <c r="J143" s="5" t="s">
        <v>131</v>
      </c>
      <c r="K143" s="5" t="s">
        <v>61</v>
      </c>
      <c r="L143" s="7">
        <v>7592</v>
      </c>
      <c r="M143" s="7">
        <f>SUM(F143+L143)</f>
        <v>58203</v>
      </c>
      <c r="N143" s="11">
        <f t="shared" si="11"/>
        <v>0.13044001168324657</v>
      </c>
      <c r="O143" s="10" t="str">
        <f>_xlfn.XLOOKUP(A143,'Reference Data'!A:A,'Reference Data'!B:B)</f>
        <v>Plant Worker</v>
      </c>
      <c r="P143" s="10" t="str">
        <f>_xlfn.XLOOKUP(A143,'Reference Data'!A:A,'Reference Data'!C:C)</f>
        <v>F</v>
      </c>
      <c r="Q143" s="7"/>
      <c r="R143" s="3"/>
      <c r="S143" s="3"/>
      <c r="T143" s="3"/>
      <c r="U143" s="3"/>
      <c r="V143" s="3"/>
    </row>
    <row r="144" spans="1:22" ht="16.5">
      <c r="A144" s="5" t="s">
        <v>363</v>
      </c>
      <c r="B144" s="5" t="s">
        <v>56</v>
      </c>
      <c r="C144" s="6" t="str">
        <f t="shared" si="8"/>
        <v>Tasty New York</v>
      </c>
      <c r="D144" s="5" t="s">
        <v>69</v>
      </c>
      <c r="E144" s="5">
        <f t="shared" si="9"/>
        <v>1</v>
      </c>
      <c r="F144" s="7">
        <v>47946</v>
      </c>
      <c r="G144" s="5" t="s">
        <v>64</v>
      </c>
      <c r="H144" s="5" t="s">
        <v>364</v>
      </c>
      <c r="I144" s="5">
        <f t="shared" ca="1" si="10"/>
        <v>22</v>
      </c>
      <c r="J144" s="5" t="s">
        <v>127</v>
      </c>
      <c r="K144" s="5" t="s">
        <v>361</v>
      </c>
      <c r="L144" s="7">
        <v>5754</v>
      </c>
      <c r="M144" s="7">
        <f>SUM(F144+L144)</f>
        <v>53700</v>
      </c>
      <c r="N144" s="11">
        <f t="shared" si="11"/>
        <v>0.10715083798882681</v>
      </c>
      <c r="O144" s="10" t="str">
        <f>_xlfn.XLOOKUP(A144,'Reference Data'!A:A,'Reference Data'!B:B)</f>
        <v>Plant Supervisor</v>
      </c>
      <c r="P144" s="10" t="str">
        <f>_xlfn.XLOOKUP(A144,'Reference Data'!A:A,'Reference Data'!C:C)</f>
        <v>M</v>
      </c>
      <c r="Q144" s="7"/>
      <c r="R144" s="3"/>
      <c r="S144" s="3"/>
      <c r="T144" s="3"/>
      <c r="U144" s="3"/>
      <c r="V144" s="3"/>
    </row>
    <row r="145" spans="1:22" ht="16.5">
      <c r="A145" s="5" t="s">
        <v>365</v>
      </c>
      <c r="B145" s="5" t="s">
        <v>56</v>
      </c>
      <c r="C145" s="6" t="str">
        <f t="shared" si="8"/>
        <v>Tasty New Jersey</v>
      </c>
      <c r="D145" s="5" t="s">
        <v>69</v>
      </c>
      <c r="E145" s="5">
        <f t="shared" si="9"/>
        <v>1</v>
      </c>
      <c r="F145" s="7">
        <v>34738</v>
      </c>
      <c r="G145" s="5" t="s">
        <v>58</v>
      </c>
      <c r="H145" s="5" t="s">
        <v>366</v>
      </c>
      <c r="I145" s="5">
        <f t="shared" ca="1" si="10"/>
        <v>24</v>
      </c>
      <c r="J145" s="5" t="s">
        <v>71</v>
      </c>
      <c r="K145" s="5" t="s">
        <v>72</v>
      </c>
      <c r="L145" s="7">
        <v>5558</v>
      </c>
      <c r="M145" s="7">
        <f>SUM(F145+L145)</f>
        <v>40296</v>
      </c>
      <c r="N145" s="11">
        <f t="shared" si="11"/>
        <v>0.13792932300972802</v>
      </c>
      <c r="O145" s="10" t="str">
        <f>_xlfn.XLOOKUP(A145,'Reference Data'!A:A,'Reference Data'!B:B)</f>
        <v>Plant Worker</v>
      </c>
      <c r="P145" s="10" t="str">
        <f>_xlfn.XLOOKUP(A145,'Reference Data'!A:A,'Reference Data'!C:C)</f>
        <v>F</v>
      </c>
      <c r="Q145" s="7"/>
      <c r="R145" s="3"/>
      <c r="S145" s="3"/>
      <c r="T145" s="3"/>
      <c r="U145" s="3"/>
      <c r="V145" s="3"/>
    </row>
    <row r="146" spans="1:22" ht="16.5">
      <c r="A146" s="5" t="s">
        <v>367</v>
      </c>
      <c r="B146" s="5" t="s">
        <v>56</v>
      </c>
      <c r="C146" s="6" t="str">
        <f t="shared" si="8"/>
        <v>Tasty New York</v>
      </c>
      <c r="D146" s="5" t="s">
        <v>57</v>
      </c>
      <c r="E146" s="5">
        <f t="shared" si="9"/>
        <v>1</v>
      </c>
      <c r="F146" s="7">
        <v>29479</v>
      </c>
      <c r="G146" s="5" t="s">
        <v>113</v>
      </c>
      <c r="H146" s="5" t="s">
        <v>368</v>
      </c>
      <c r="I146" s="5">
        <f t="shared" ca="1" si="10"/>
        <v>20</v>
      </c>
      <c r="J146" s="5" t="s">
        <v>96</v>
      </c>
      <c r="K146" s="5" t="s">
        <v>115</v>
      </c>
      <c r="L146" s="7">
        <v>0</v>
      </c>
      <c r="M146" s="7">
        <f>SUM(F146+L146)</f>
        <v>29479</v>
      </c>
      <c r="N146" s="11">
        <f t="shared" si="11"/>
        <v>0</v>
      </c>
      <c r="O146" s="10" t="str">
        <f>_xlfn.XLOOKUP(A146,'Reference Data'!A:A,'Reference Data'!B:B)</f>
        <v>Administrative Support</v>
      </c>
      <c r="P146" s="10" t="str">
        <f>_xlfn.XLOOKUP(A146,'Reference Data'!A:A,'Reference Data'!C:C)</f>
        <v>F</v>
      </c>
      <c r="Q146" s="7"/>
      <c r="R146" s="3"/>
      <c r="S146" s="3"/>
      <c r="T146" s="3"/>
      <c r="U146" s="3"/>
      <c r="V146" s="3"/>
    </row>
    <row r="147" spans="1:22" ht="16.5">
      <c r="A147" s="5" t="s">
        <v>369</v>
      </c>
      <c r="B147" s="5" t="s">
        <v>56</v>
      </c>
      <c r="C147" s="6" t="str">
        <f t="shared" si="8"/>
        <v>Tasty New Jersey</v>
      </c>
      <c r="D147" s="5" t="s">
        <v>57</v>
      </c>
      <c r="E147" s="5">
        <f t="shared" si="9"/>
        <v>1</v>
      </c>
      <c r="F147" s="7">
        <v>53767</v>
      </c>
      <c r="G147" s="5" t="s">
        <v>58</v>
      </c>
      <c r="H147" s="5" t="s">
        <v>214</v>
      </c>
      <c r="I147" s="5">
        <f t="shared" ca="1" si="10"/>
        <v>24</v>
      </c>
      <c r="J147" s="5" t="s">
        <v>96</v>
      </c>
      <c r="K147" s="5" t="s">
        <v>61</v>
      </c>
      <c r="L147" s="7">
        <v>9678</v>
      </c>
      <c r="M147" s="7">
        <f>SUM(F147+L147)</f>
        <v>63445</v>
      </c>
      <c r="N147" s="11">
        <f t="shared" si="11"/>
        <v>0.15254157143982977</v>
      </c>
      <c r="O147" s="10" t="str">
        <f>_xlfn.XLOOKUP(A147,'Reference Data'!A:A,'Reference Data'!B:B)</f>
        <v>Plant Worker</v>
      </c>
      <c r="P147" s="10" t="str">
        <f>_xlfn.XLOOKUP(A147,'Reference Data'!A:A,'Reference Data'!C:C)</f>
        <v>M</v>
      </c>
      <c r="Q147" s="7"/>
    </row>
    <row r="148" spans="1:22" ht="16.5">
      <c r="A148" s="5" t="s">
        <v>370</v>
      </c>
      <c r="B148" s="5" t="s">
        <v>56</v>
      </c>
      <c r="C148" s="6" t="str">
        <f t="shared" si="8"/>
        <v>Tasty New York</v>
      </c>
      <c r="D148" s="5" t="s">
        <v>69</v>
      </c>
      <c r="E148" s="5">
        <f t="shared" si="9"/>
        <v>1</v>
      </c>
      <c r="F148" s="7">
        <v>35554</v>
      </c>
      <c r="G148" s="5" t="s">
        <v>64</v>
      </c>
      <c r="H148" s="5" t="s">
        <v>371</v>
      </c>
      <c r="I148" s="5">
        <f t="shared" ca="1" si="10"/>
        <v>21</v>
      </c>
      <c r="J148" s="5" t="s">
        <v>127</v>
      </c>
      <c r="K148" s="5" t="s">
        <v>361</v>
      </c>
      <c r="L148" s="7">
        <v>5333</v>
      </c>
      <c r="M148" s="7">
        <f>SUM(F148+L148)</f>
        <v>40887</v>
      </c>
      <c r="N148" s="11">
        <f t="shared" si="11"/>
        <v>0.13043265585638467</v>
      </c>
      <c r="O148" s="10" t="str">
        <f>_xlfn.XLOOKUP(A148,'Reference Data'!A:A,'Reference Data'!B:B)</f>
        <v>Plant Worker</v>
      </c>
      <c r="P148" s="10" t="str">
        <f>_xlfn.XLOOKUP(A148,'Reference Data'!A:A,'Reference Data'!C:C)</f>
        <v>F</v>
      </c>
      <c r="Q148" s="7"/>
      <c r="R148" s="3"/>
      <c r="S148" s="3"/>
      <c r="T148" s="3"/>
      <c r="U148" s="3"/>
      <c r="V148" s="3"/>
    </row>
    <row r="149" spans="1:22" ht="16.5">
      <c r="A149" s="5" t="s">
        <v>372</v>
      </c>
      <c r="B149" s="5" t="s">
        <v>56</v>
      </c>
      <c r="C149" s="6" t="str">
        <f t="shared" si="8"/>
        <v>Tasty New York</v>
      </c>
      <c r="D149" s="5" t="s">
        <v>69</v>
      </c>
      <c r="E149" s="5">
        <f t="shared" si="9"/>
        <v>1</v>
      </c>
      <c r="F149" s="7">
        <v>42266</v>
      </c>
      <c r="G149" s="5" t="s">
        <v>64</v>
      </c>
      <c r="H149" s="5" t="s">
        <v>171</v>
      </c>
      <c r="I149" s="5">
        <f t="shared" ca="1" si="10"/>
        <v>22</v>
      </c>
      <c r="J149" s="5" t="s">
        <v>127</v>
      </c>
      <c r="K149" s="5" t="s">
        <v>361</v>
      </c>
      <c r="L149" s="7">
        <v>5072</v>
      </c>
      <c r="M149" s="7">
        <f>SUM(F149+L149)</f>
        <v>47338</v>
      </c>
      <c r="N149" s="11">
        <f t="shared" si="11"/>
        <v>0.10714436604841776</v>
      </c>
      <c r="O149" s="10" t="str">
        <f>_xlfn.XLOOKUP(A149,'Reference Data'!A:A,'Reference Data'!B:B)</f>
        <v>Plant Supervisor</v>
      </c>
      <c r="P149" s="10" t="str">
        <f>_xlfn.XLOOKUP(A149,'Reference Data'!A:A,'Reference Data'!C:C)</f>
        <v>F</v>
      </c>
      <c r="Q149" s="7"/>
      <c r="R149" s="3"/>
      <c r="S149" s="3"/>
      <c r="T149" s="3"/>
      <c r="U149" s="3"/>
      <c r="V149" s="3"/>
    </row>
    <row r="150" spans="1:22" ht="16.5">
      <c r="A150" s="5" t="s">
        <v>373</v>
      </c>
      <c r="B150" s="5" t="s">
        <v>56</v>
      </c>
      <c r="C150" s="6" t="str">
        <f t="shared" si="8"/>
        <v>Tasty New Jersey</v>
      </c>
      <c r="D150" s="5" t="s">
        <v>57</v>
      </c>
      <c r="E150" s="5">
        <f t="shared" si="9"/>
        <v>1</v>
      </c>
      <c r="F150" s="7">
        <v>63616</v>
      </c>
      <c r="G150" s="5" t="s">
        <v>58</v>
      </c>
      <c r="H150" s="5" t="s">
        <v>374</v>
      </c>
      <c r="I150" s="5">
        <f t="shared" ca="1" si="10"/>
        <v>25</v>
      </c>
      <c r="J150" s="5" t="s">
        <v>96</v>
      </c>
      <c r="K150" s="5" t="s">
        <v>61</v>
      </c>
      <c r="L150" s="7">
        <v>10179</v>
      </c>
      <c r="M150" s="7">
        <f>SUM(F150+L150)</f>
        <v>73795</v>
      </c>
      <c r="N150" s="11">
        <f t="shared" si="11"/>
        <v>0.13793617453757029</v>
      </c>
      <c r="O150" s="10" t="str">
        <f>_xlfn.XLOOKUP(A150,'Reference Data'!A:A,'Reference Data'!B:B)</f>
        <v>Plant Worker</v>
      </c>
      <c r="P150" s="10" t="str">
        <f>_xlfn.XLOOKUP(A150,'Reference Data'!A:A,'Reference Data'!C:C)</f>
        <v>F</v>
      </c>
      <c r="Q150" s="7"/>
      <c r="R150" s="3"/>
      <c r="S150" s="3"/>
      <c r="T150" s="3"/>
      <c r="U150" s="3"/>
      <c r="V150" s="3"/>
    </row>
    <row r="151" spans="1:22" ht="16.5">
      <c r="A151" s="5" t="s">
        <v>375</v>
      </c>
      <c r="B151" s="5" t="s">
        <v>56</v>
      </c>
      <c r="C151" s="6" t="str">
        <f t="shared" si="8"/>
        <v>Tasty New Jersey</v>
      </c>
      <c r="D151" s="5" t="s">
        <v>57</v>
      </c>
      <c r="E151" s="5">
        <f t="shared" si="9"/>
        <v>1</v>
      </c>
      <c r="F151" s="7">
        <v>46787</v>
      </c>
      <c r="G151" s="5" t="s">
        <v>58</v>
      </c>
      <c r="H151" s="5" t="s">
        <v>376</v>
      </c>
      <c r="I151" s="5">
        <f t="shared" ca="1" si="10"/>
        <v>23</v>
      </c>
      <c r="J151" s="5" t="s">
        <v>96</v>
      </c>
      <c r="K151" s="5" t="s">
        <v>61</v>
      </c>
      <c r="L151" s="7">
        <v>8422</v>
      </c>
      <c r="M151" s="7">
        <f>SUM(F151+L151)</f>
        <v>55209</v>
      </c>
      <c r="N151" s="11">
        <f t="shared" si="11"/>
        <v>0.15254759187813582</v>
      </c>
      <c r="O151" s="10" t="str">
        <f>_xlfn.XLOOKUP(A151,'Reference Data'!A:A,'Reference Data'!B:B)</f>
        <v>Plant Worker</v>
      </c>
      <c r="P151" s="10" t="str">
        <f>_xlfn.XLOOKUP(A151,'Reference Data'!A:A,'Reference Data'!C:C)</f>
        <v>M</v>
      </c>
      <c r="Q151" s="7"/>
      <c r="R151" s="3"/>
      <c r="S151" s="3"/>
      <c r="T151" s="3"/>
      <c r="U151" s="3"/>
      <c r="V151" s="3"/>
    </row>
    <row r="152" spans="1:22" ht="16.5">
      <c r="A152" s="5" t="s">
        <v>377</v>
      </c>
      <c r="B152" s="5" t="s">
        <v>56</v>
      </c>
      <c r="C152" s="6" t="str">
        <f t="shared" si="8"/>
        <v>Tasty New York</v>
      </c>
      <c r="D152" s="5" t="s">
        <v>57</v>
      </c>
      <c r="E152" s="5">
        <f t="shared" si="9"/>
        <v>1</v>
      </c>
      <c r="F152" s="7">
        <v>29399</v>
      </c>
      <c r="G152" s="5" t="s">
        <v>113</v>
      </c>
      <c r="H152" s="5" t="s">
        <v>109</v>
      </c>
      <c r="I152" s="5">
        <f t="shared" ca="1" si="10"/>
        <v>21</v>
      </c>
      <c r="J152" s="5" t="s">
        <v>96</v>
      </c>
      <c r="K152" s="5" t="s">
        <v>115</v>
      </c>
      <c r="L152" s="7">
        <v>0</v>
      </c>
      <c r="M152" s="7">
        <f>SUM(F152+L152)</f>
        <v>29399</v>
      </c>
      <c r="N152" s="11">
        <f t="shared" si="11"/>
        <v>0</v>
      </c>
      <c r="O152" s="10" t="str">
        <f>_xlfn.XLOOKUP(A152,'Reference Data'!A:A,'Reference Data'!B:B)</f>
        <v>Administrative Support</v>
      </c>
      <c r="P152" s="10" t="str">
        <f>_xlfn.XLOOKUP(A152,'Reference Data'!A:A,'Reference Data'!C:C)</f>
        <v>F</v>
      </c>
      <c r="Q152" s="7"/>
      <c r="R152" s="3"/>
      <c r="S152" s="3"/>
      <c r="T152" s="3"/>
      <c r="U152" s="3"/>
      <c r="V152" s="3"/>
    </row>
    <row r="153" spans="1:22" ht="16.5">
      <c r="A153" s="5" t="s">
        <v>343</v>
      </c>
      <c r="B153" s="5" t="s">
        <v>56</v>
      </c>
      <c r="C153" s="6" t="str">
        <f t="shared" si="8"/>
        <v>Tasty New York</v>
      </c>
      <c r="D153" s="5" t="s">
        <v>89</v>
      </c>
      <c r="E153" s="5">
        <f t="shared" si="9"/>
        <v>0</v>
      </c>
      <c r="F153" s="7">
        <v>115972</v>
      </c>
      <c r="G153" s="5" t="s">
        <v>77</v>
      </c>
      <c r="H153" s="5" t="s">
        <v>155</v>
      </c>
      <c r="I153" s="5">
        <f t="shared" ca="1" si="10"/>
        <v>25</v>
      </c>
      <c r="J153" s="5" t="s">
        <v>91</v>
      </c>
      <c r="K153" s="5" t="s">
        <v>79</v>
      </c>
      <c r="L153" s="7">
        <v>10437</v>
      </c>
      <c r="M153" s="7">
        <f>SUM(F153+L153)</f>
        <v>126409</v>
      </c>
      <c r="N153" s="11">
        <f t="shared" si="11"/>
        <v>8.2565323671574015E-2</v>
      </c>
      <c r="O153" s="10" t="str">
        <f>_xlfn.XLOOKUP(A153,'Reference Data'!A:A,'Reference Data'!B:B)</f>
        <v>Plant Manager</v>
      </c>
      <c r="P153" s="10" t="str">
        <f>_xlfn.XLOOKUP(A153,'Reference Data'!A:A,'Reference Data'!C:C)</f>
        <v>F</v>
      </c>
      <c r="Q153" s="7"/>
    </row>
    <row r="154" spans="1:22" ht="16.5">
      <c r="A154" s="5" t="s">
        <v>378</v>
      </c>
      <c r="B154" s="5" t="s">
        <v>56</v>
      </c>
      <c r="C154" s="6" t="str">
        <f t="shared" si="8"/>
        <v>Tasty New Jersey</v>
      </c>
      <c r="D154" s="5" t="s">
        <v>89</v>
      </c>
      <c r="E154" s="5">
        <f t="shared" si="9"/>
        <v>0</v>
      </c>
      <c r="F154" s="7">
        <v>108680</v>
      </c>
      <c r="G154" s="5" t="s">
        <v>58</v>
      </c>
      <c r="H154" s="5" t="s">
        <v>293</v>
      </c>
      <c r="I154" s="5">
        <f t="shared" ca="1" si="10"/>
        <v>22</v>
      </c>
      <c r="J154" s="5" t="s">
        <v>91</v>
      </c>
      <c r="K154" s="5" t="s">
        <v>379</v>
      </c>
      <c r="L154" s="7">
        <v>10868</v>
      </c>
      <c r="M154" s="7">
        <f>SUM(F154+L154)</f>
        <v>119548</v>
      </c>
      <c r="N154" s="11">
        <f t="shared" si="11"/>
        <v>9.0909090909090912E-2</v>
      </c>
      <c r="O154" s="10" t="str">
        <f>_xlfn.XLOOKUP(A154,'Reference Data'!A:A,'Reference Data'!B:B)</f>
        <v>Plant Supervisor</v>
      </c>
      <c r="P154" s="10" t="str">
        <f>_xlfn.XLOOKUP(A154,'Reference Data'!A:A,'Reference Data'!C:C)</f>
        <v>M</v>
      </c>
      <c r="Q154" s="7"/>
      <c r="R154" s="3"/>
      <c r="S154" s="3"/>
      <c r="T154" s="3"/>
      <c r="U154" s="3"/>
      <c r="V154" s="3"/>
    </row>
    <row r="155" spans="1:22" ht="16.5">
      <c r="A155" s="5" t="s">
        <v>380</v>
      </c>
      <c r="B155" s="5" t="s">
        <v>56</v>
      </c>
      <c r="C155" s="6" t="str">
        <f t="shared" si="8"/>
        <v>Tasty New Jersey</v>
      </c>
      <c r="D155" s="5" t="s">
        <v>69</v>
      </c>
      <c r="E155" s="5">
        <f t="shared" si="9"/>
        <v>1</v>
      </c>
      <c r="F155" s="7">
        <v>39486</v>
      </c>
      <c r="G155" s="5" t="s">
        <v>58</v>
      </c>
      <c r="H155" s="5" t="s">
        <v>339</v>
      </c>
      <c r="I155" s="5">
        <f t="shared" ca="1" si="10"/>
        <v>24</v>
      </c>
      <c r="J155" s="5" t="s">
        <v>71</v>
      </c>
      <c r="K155" s="5" t="s">
        <v>61</v>
      </c>
      <c r="L155" s="7">
        <v>7107</v>
      </c>
      <c r="M155" s="7">
        <f>SUM(F155+L155)</f>
        <v>46593</v>
      </c>
      <c r="N155" s="11">
        <f t="shared" si="11"/>
        <v>0.15253364239263409</v>
      </c>
      <c r="O155" s="10" t="str">
        <f>_xlfn.XLOOKUP(A155,'Reference Data'!A:A,'Reference Data'!B:B)</f>
        <v>Plant Worker</v>
      </c>
      <c r="P155" s="10" t="str">
        <f>_xlfn.XLOOKUP(A155,'Reference Data'!A:A,'Reference Data'!C:C)</f>
        <v>F</v>
      </c>
      <c r="Q155" s="7"/>
      <c r="R155" s="3"/>
      <c r="S155" s="3"/>
      <c r="T155" s="3"/>
      <c r="U155" s="3"/>
      <c r="V155" s="3"/>
    </row>
    <row r="156" spans="1:22" ht="16.5">
      <c r="A156" s="5" t="s">
        <v>381</v>
      </c>
      <c r="B156" s="5" t="s">
        <v>56</v>
      </c>
      <c r="C156" s="6" t="str">
        <f t="shared" si="8"/>
        <v>Tasty New Jersey</v>
      </c>
      <c r="D156" s="5" t="s">
        <v>69</v>
      </c>
      <c r="E156" s="5">
        <f t="shared" si="9"/>
        <v>1</v>
      </c>
      <c r="F156" s="7">
        <v>30951</v>
      </c>
      <c r="G156" s="5" t="s">
        <v>58</v>
      </c>
      <c r="H156" s="5" t="s">
        <v>382</v>
      </c>
      <c r="I156" s="5">
        <f t="shared" ca="1" si="10"/>
        <v>23</v>
      </c>
      <c r="J156" s="5" t="s">
        <v>71</v>
      </c>
      <c r="K156" s="5" t="s">
        <v>383</v>
      </c>
      <c r="L156" s="7">
        <v>5571</v>
      </c>
      <c r="M156" s="7">
        <f>SUM(F156+L156)</f>
        <v>36522</v>
      </c>
      <c r="N156" s="11">
        <f t="shared" si="11"/>
        <v>0.15253819615574174</v>
      </c>
      <c r="O156" s="10" t="str">
        <f>_xlfn.XLOOKUP(A156,'Reference Data'!A:A,'Reference Data'!B:B)</f>
        <v>Plant Worker</v>
      </c>
      <c r="P156" s="10" t="str">
        <f>_xlfn.XLOOKUP(A156,'Reference Data'!A:A,'Reference Data'!C:C)</f>
        <v>M</v>
      </c>
      <c r="Q156" s="7"/>
      <c r="R156" s="3"/>
      <c r="S156" s="3"/>
      <c r="T156" s="3"/>
      <c r="U156" s="3"/>
      <c r="V156" s="3"/>
    </row>
    <row r="157" spans="1:22" ht="16.5">
      <c r="A157" s="5" t="s">
        <v>384</v>
      </c>
      <c r="B157" s="5" t="s">
        <v>56</v>
      </c>
      <c r="C157" s="6" t="str">
        <f t="shared" si="8"/>
        <v>Tasty New York</v>
      </c>
      <c r="D157" s="5" t="s">
        <v>89</v>
      </c>
      <c r="E157" s="5">
        <f t="shared" si="9"/>
        <v>0</v>
      </c>
      <c r="F157" s="7">
        <v>75931</v>
      </c>
      <c r="G157" s="5" t="s">
        <v>113</v>
      </c>
      <c r="H157" s="5" t="s">
        <v>364</v>
      </c>
      <c r="I157" s="5">
        <f t="shared" ca="1" si="10"/>
        <v>22</v>
      </c>
      <c r="J157" s="5" t="s">
        <v>91</v>
      </c>
      <c r="K157" s="5" t="s">
        <v>115</v>
      </c>
      <c r="L157" s="7">
        <v>11390</v>
      </c>
      <c r="M157" s="7">
        <f>SUM(F157+L157)</f>
        <v>87321</v>
      </c>
      <c r="N157" s="11">
        <f t="shared" si="11"/>
        <v>0.13043826799967934</v>
      </c>
      <c r="O157" s="10" t="str">
        <f>_xlfn.XLOOKUP(A157,'Reference Data'!A:A,'Reference Data'!B:B)</f>
        <v>Plant Worker</v>
      </c>
      <c r="P157" s="10" t="str">
        <f>_xlfn.XLOOKUP(A157,'Reference Data'!A:A,'Reference Data'!C:C)</f>
        <v>M</v>
      </c>
      <c r="Q157" s="7"/>
      <c r="R157" s="3"/>
      <c r="S157" s="3"/>
      <c r="T157" s="3"/>
      <c r="U157" s="3"/>
      <c r="V157" s="3"/>
    </row>
    <row r="158" spans="1:22" ht="16.5">
      <c r="A158" s="5" t="s">
        <v>385</v>
      </c>
      <c r="B158" s="5" t="s">
        <v>56</v>
      </c>
      <c r="C158" s="6" t="str">
        <f t="shared" si="8"/>
        <v>Tasty New York</v>
      </c>
      <c r="D158" s="5" t="s">
        <v>89</v>
      </c>
      <c r="E158" s="5">
        <f t="shared" si="9"/>
        <v>0</v>
      </c>
      <c r="F158" s="7">
        <v>127253</v>
      </c>
      <c r="G158" s="5" t="s">
        <v>113</v>
      </c>
      <c r="H158" s="5" t="s">
        <v>386</v>
      </c>
      <c r="I158" s="5">
        <f t="shared" ca="1" si="10"/>
        <v>21</v>
      </c>
      <c r="J158" s="5" t="s">
        <v>91</v>
      </c>
      <c r="K158" s="5" t="s">
        <v>115</v>
      </c>
      <c r="L158" s="7">
        <v>17815</v>
      </c>
      <c r="M158" s="7">
        <f>SUM(F158+L158)</f>
        <v>145068</v>
      </c>
      <c r="N158" s="11">
        <f t="shared" si="11"/>
        <v>0.1228044779000193</v>
      </c>
      <c r="O158" s="10" t="str">
        <f>_xlfn.XLOOKUP(A158,'Reference Data'!A:A,'Reference Data'!B:B)</f>
        <v>Plant Manager</v>
      </c>
      <c r="P158" s="10" t="str">
        <f>_xlfn.XLOOKUP(A158,'Reference Data'!A:A,'Reference Data'!C:C)</f>
        <v>M</v>
      </c>
      <c r="Q158" s="7"/>
      <c r="R158" s="3"/>
      <c r="S158" s="3"/>
      <c r="T158" s="3"/>
      <c r="U158" s="3"/>
      <c r="V158" s="3"/>
    </row>
    <row r="159" spans="1:22" ht="16.5">
      <c r="A159" s="5" t="s">
        <v>387</v>
      </c>
      <c r="B159" s="5" t="s">
        <v>56</v>
      </c>
      <c r="C159" s="6" t="str">
        <f t="shared" si="8"/>
        <v>Tasty New York</v>
      </c>
      <c r="D159" s="5" t="s">
        <v>69</v>
      </c>
      <c r="E159" s="5">
        <f t="shared" si="9"/>
        <v>1</v>
      </c>
      <c r="F159" s="7">
        <v>203400</v>
      </c>
      <c r="G159" s="5" t="s">
        <v>113</v>
      </c>
      <c r="H159" s="5" t="s">
        <v>388</v>
      </c>
      <c r="I159" s="5">
        <f t="shared" ca="1" si="10"/>
        <v>29</v>
      </c>
      <c r="J159" s="5" t="s">
        <v>187</v>
      </c>
      <c r="K159" s="5" t="s">
        <v>140</v>
      </c>
      <c r="L159" s="7">
        <v>0</v>
      </c>
      <c r="M159" s="7">
        <f>SUM(F159+L159)</f>
        <v>203400</v>
      </c>
      <c r="N159" s="11">
        <f t="shared" si="11"/>
        <v>0</v>
      </c>
      <c r="O159" s="10" t="str">
        <f>_xlfn.XLOOKUP(A159,'Reference Data'!A:A,'Reference Data'!B:B)</f>
        <v>Director</v>
      </c>
      <c r="P159" s="10" t="str">
        <f>_xlfn.XLOOKUP(A159,'Reference Data'!A:A,'Reference Data'!C:C)</f>
        <v>M</v>
      </c>
      <c r="Q159" s="7"/>
      <c r="R159" s="3"/>
      <c r="S159" s="3"/>
      <c r="T159" s="3"/>
      <c r="U159" s="3"/>
      <c r="V159" s="3"/>
    </row>
    <row r="160" spans="1:22" ht="16.5">
      <c r="A160" s="5" t="s">
        <v>389</v>
      </c>
      <c r="B160" s="5" t="s">
        <v>56</v>
      </c>
      <c r="C160" s="6" t="str">
        <f t="shared" si="8"/>
        <v>Tasty New Jersey</v>
      </c>
      <c r="D160" s="5" t="s">
        <v>69</v>
      </c>
      <c r="E160" s="5">
        <f t="shared" si="9"/>
        <v>1</v>
      </c>
      <c r="F160" s="7">
        <v>35488</v>
      </c>
      <c r="G160" s="5" t="s">
        <v>58</v>
      </c>
      <c r="H160" s="5" t="s">
        <v>390</v>
      </c>
      <c r="I160" s="5">
        <f t="shared" ca="1" si="10"/>
        <v>22</v>
      </c>
      <c r="J160" s="5" t="s">
        <v>71</v>
      </c>
      <c r="K160" s="5" t="s">
        <v>61</v>
      </c>
      <c r="L160" s="7">
        <v>5678</v>
      </c>
      <c r="M160" s="7">
        <f>SUM(F160+L160)</f>
        <v>41166</v>
      </c>
      <c r="N160" s="11">
        <f t="shared" si="11"/>
        <v>0.13792935917990576</v>
      </c>
      <c r="O160" s="10" t="str">
        <f>_xlfn.XLOOKUP(A160,'Reference Data'!A:A,'Reference Data'!B:B)</f>
        <v>Plant Worker</v>
      </c>
      <c r="P160" s="10" t="str">
        <f>_xlfn.XLOOKUP(A160,'Reference Data'!A:A,'Reference Data'!C:C)</f>
        <v>M</v>
      </c>
      <c r="Q160" s="7"/>
    </row>
    <row r="161" spans="1:22" ht="16.5">
      <c r="A161" s="5" t="s">
        <v>391</v>
      </c>
      <c r="B161" s="5" t="s">
        <v>56</v>
      </c>
      <c r="C161" s="6" t="str">
        <f t="shared" si="8"/>
        <v>Tasty New Jersey</v>
      </c>
      <c r="D161" s="5" t="s">
        <v>89</v>
      </c>
      <c r="E161" s="5">
        <f t="shared" si="9"/>
        <v>0</v>
      </c>
      <c r="F161" s="7">
        <v>83436</v>
      </c>
      <c r="G161" s="5" t="s">
        <v>58</v>
      </c>
      <c r="H161" s="5" t="s">
        <v>276</v>
      </c>
      <c r="I161" s="5">
        <f t="shared" ca="1" si="10"/>
        <v>23</v>
      </c>
      <c r="J161" s="5" t="s">
        <v>286</v>
      </c>
      <c r="K161" s="5" t="s">
        <v>61</v>
      </c>
      <c r="L161" s="7">
        <v>11681</v>
      </c>
      <c r="M161" s="7">
        <f>SUM(F161+L161)</f>
        <v>95117</v>
      </c>
      <c r="N161" s="11">
        <f t="shared" si="11"/>
        <v>0.12280664865376326</v>
      </c>
      <c r="O161" s="10" t="str">
        <f>_xlfn.XLOOKUP(A161,'Reference Data'!A:A,'Reference Data'!B:B)</f>
        <v>Plant Worker</v>
      </c>
      <c r="P161" s="10" t="str">
        <f>_xlfn.XLOOKUP(A161,'Reference Data'!A:A,'Reference Data'!C:C)</f>
        <v>F</v>
      </c>
      <c r="Q161" s="7"/>
      <c r="R161" s="3"/>
      <c r="S161" s="3"/>
      <c r="T161" s="3"/>
      <c r="U161" s="3"/>
      <c r="V161" s="3"/>
    </row>
    <row r="162" spans="1:22" ht="16.5">
      <c r="A162" s="5" t="s">
        <v>392</v>
      </c>
      <c r="B162" s="5" t="s">
        <v>56</v>
      </c>
      <c r="C162" s="6" t="str">
        <f t="shared" si="8"/>
        <v>Tasty New Jersey</v>
      </c>
      <c r="D162" s="5" t="s">
        <v>89</v>
      </c>
      <c r="E162" s="5">
        <f t="shared" si="9"/>
        <v>0</v>
      </c>
      <c r="F162" s="7">
        <v>47510</v>
      </c>
      <c r="G162" s="5" t="s">
        <v>58</v>
      </c>
      <c r="H162" s="5" t="s">
        <v>364</v>
      </c>
      <c r="I162" s="5">
        <f t="shared" ca="1" si="10"/>
        <v>22</v>
      </c>
      <c r="J162" s="5" t="s">
        <v>91</v>
      </c>
      <c r="K162" s="5" t="s">
        <v>61</v>
      </c>
      <c r="L162" s="7">
        <v>8552</v>
      </c>
      <c r="M162" s="7">
        <f>SUM(F162+L162)</f>
        <v>56062</v>
      </c>
      <c r="N162" s="11">
        <f t="shared" si="11"/>
        <v>0.15254539616852769</v>
      </c>
      <c r="O162" s="10" t="str">
        <f>_xlfn.XLOOKUP(A162,'Reference Data'!A:A,'Reference Data'!B:B)</f>
        <v>Plant Worker</v>
      </c>
      <c r="P162" s="10" t="str">
        <f>_xlfn.XLOOKUP(A162,'Reference Data'!A:A,'Reference Data'!C:C)</f>
        <v>M</v>
      </c>
      <c r="Q162" s="7"/>
      <c r="R162" s="3"/>
      <c r="S162" s="3"/>
      <c r="T162" s="3"/>
      <c r="U162" s="3"/>
      <c r="V162" s="3"/>
    </row>
    <row r="163" spans="1:22" ht="16.5">
      <c r="A163" s="5" t="s">
        <v>393</v>
      </c>
      <c r="B163" s="5" t="s">
        <v>56</v>
      </c>
      <c r="C163" s="6" t="str">
        <f t="shared" si="8"/>
        <v>Tasty New York</v>
      </c>
      <c r="D163" s="5" t="s">
        <v>57</v>
      </c>
      <c r="E163" s="5">
        <f t="shared" si="9"/>
        <v>1</v>
      </c>
      <c r="F163" s="7">
        <v>32514</v>
      </c>
      <c r="G163" s="5" t="s">
        <v>64</v>
      </c>
      <c r="H163" s="5" t="s">
        <v>394</v>
      </c>
      <c r="I163" s="5">
        <f t="shared" ca="1" si="10"/>
        <v>19</v>
      </c>
      <c r="J163" s="5" t="s">
        <v>96</v>
      </c>
      <c r="K163" s="5" t="s">
        <v>82</v>
      </c>
      <c r="L163" s="7">
        <v>0</v>
      </c>
      <c r="M163" s="7">
        <f>SUM(F163+L163)</f>
        <v>32514</v>
      </c>
      <c r="N163" s="11">
        <f t="shared" si="11"/>
        <v>0</v>
      </c>
      <c r="O163" s="10" t="str">
        <f>_xlfn.XLOOKUP(A163,'Reference Data'!A:A,'Reference Data'!B:B)</f>
        <v>Administrative Support</v>
      </c>
      <c r="P163" s="10" t="str">
        <f>_xlfn.XLOOKUP(A163,'Reference Data'!A:A,'Reference Data'!C:C)</f>
        <v>F</v>
      </c>
      <c r="Q163" s="7"/>
      <c r="R163" s="3"/>
      <c r="S163" s="3"/>
      <c r="T163" s="3"/>
      <c r="U163" s="3"/>
      <c r="V163" s="3"/>
    </row>
    <row r="164" spans="1:22" ht="16.5">
      <c r="A164" s="5" t="s">
        <v>395</v>
      </c>
      <c r="B164" s="5" t="s">
        <v>56</v>
      </c>
      <c r="C164" s="6" t="str">
        <f t="shared" si="8"/>
        <v>Tasty New Jersey</v>
      </c>
      <c r="D164" s="5" t="s">
        <v>89</v>
      </c>
      <c r="E164" s="5">
        <f t="shared" si="9"/>
        <v>0</v>
      </c>
      <c r="F164" s="7">
        <v>49177</v>
      </c>
      <c r="G164" s="5" t="s">
        <v>58</v>
      </c>
      <c r="H164" s="5" t="s">
        <v>396</v>
      </c>
      <c r="I164" s="5">
        <f t="shared" ca="1" si="10"/>
        <v>20</v>
      </c>
      <c r="J164" s="5" t="s">
        <v>91</v>
      </c>
      <c r="K164" s="5" t="s">
        <v>61</v>
      </c>
      <c r="L164" s="7">
        <v>8852</v>
      </c>
      <c r="M164" s="7">
        <f>SUM(F164+L164)</f>
        <v>58029</v>
      </c>
      <c r="N164" s="11">
        <f t="shared" si="11"/>
        <v>0.1525444174464492</v>
      </c>
      <c r="O164" s="10" t="str">
        <f>_xlfn.XLOOKUP(A164,'Reference Data'!A:A,'Reference Data'!B:B)</f>
        <v>Plant Worker</v>
      </c>
      <c r="P164" s="10" t="str">
        <f>_xlfn.XLOOKUP(A164,'Reference Data'!A:A,'Reference Data'!C:C)</f>
        <v>F</v>
      </c>
      <c r="Q164" s="7"/>
    </row>
    <row r="165" spans="1:22" ht="16.5">
      <c r="A165" s="5" t="s">
        <v>397</v>
      </c>
      <c r="B165" s="5" t="s">
        <v>56</v>
      </c>
      <c r="C165" s="6" t="str">
        <f t="shared" si="8"/>
        <v>Tasty New York</v>
      </c>
      <c r="D165" s="5" t="s">
        <v>57</v>
      </c>
      <c r="E165" s="5">
        <f t="shared" si="9"/>
        <v>1</v>
      </c>
      <c r="F165" s="7">
        <v>22761</v>
      </c>
      <c r="G165" s="5" t="s">
        <v>64</v>
      </c>
      <c r="H165" s="5" t="s">
        <v>398</v>
      </c>
      <c r="I165" s="5">
        <f t="shared" ca="1" si="10"/>
        <v>19</v>
      </c>
      <c r="J165" s="5" t="s">
        <v>96</v>
      </c>
      <c r="K165" s="5" t="s">
        <v>82</v>
      </c>
      <c r="L165" s="7">
        <v>0</v>
      </c>
      <c r="M165" s="7">
        <f>SUM(F165+L165)</f>
        <v>22761</v>
      </c>
      <c r="N165" s="11">
        <f t="shared" si="11"/>
        <v>0</v>
      </c>
      <c r="O165" s="10" t="str">
        <f>_xlfn.XLOOKUP(A165,'Reference Data'!A:A,'Reference Data'!B:B)</f>
        <v>Administrative Support</v>
      </c>
      <c r="P165" s="10" t="str">
        <f>_xlfn.XLOOKUP(A165,'Reference Data'!A:A,'Reference Data'!C:C)</f>
        <v>F</v>
      </c>
      <c r="Q165" s="7"/>
      <c r="R165" s="3"/>
      <c r="S165" s="3"/>
      <c r="T165" s="3"/>
      <c r="U165" s="3"/>
      <c r="V165" s="3"/>
    </row>
    <row r="166" spans="1:22" ht="16.5">
      <c r="A166" s="5" t="s">
        <v>399</v>
      </c>
      <c r="B166" s="5" t="s">
        <v>56</v>
      </c>
      <c r="C166" s="6" t="str">
        <f t="shared" si="8"/>
        <v>Tasty New Jersey</v>
      </c>
      <c r="D166" s="5" t="s">
        <v>89</v>
      </c>
      <c r="E166" s="5">
        <f t="shared" si="9"/>
        <v>0</v>
      </c>
      <c r="F166" s="7">
        <v>115093</v>
      </c>
      <c r="G166" s="5" t="s">
        <v>58</v>
      </c>
      <c r="H166" s="5" t="s">
        <v>400</v>
      </c>
      <c r="I166" s="5">
        <f t="shared" ca="1" si="10"/>
        <v>21</v>
      </c>
      <c r="J166" s="5" t="s">
        <v>91</v>
      </c>
      <c r="K166" s="5" t="s">
        <v>379</v>
      </c>
      <c r="L166" s="7">
        <v>17264</v>
      </c>
      <c r="M166" s="7">
        <f>SUM(F166+L166)</f>
        <v>132357</v>
      </c>
      <c r="N166" s="11">
        <f t="shared" si="11"/>
        <v>0.13043511110103734</v>
      </c>
      <c r="O166" s="10" t="str">
        <f>_xlfn.XLOOKUP(A166,'Reference Data'!A:A,'Reference Data'!B:B)</f>
        <v>Plant Manager</v>
      </c>
      <c r="P166" s="10" t="str">
        <f>_xlfn.XLOOKUP(A166,'Reference Data'!A:A,'Reference Data'!C:C)</f>
        <v>F</v>
      </c>
      <c r="Q166" s="7"/>
    </row>
    <row r="167" spans="1:22" ht="16.5">
      <c r="A167" s="5" t="s">
        <v>401</v>
      </c>
      <c r="B167" s="5" t="s">
        <v>56</v>
      </c>
      <c r="C167" s="6" t="str">
        <f t="shared" si="8"/>
        <v>Tasty New Jersey</v>
      </c>
      <c r="D167" s="5" t="s">
        <v>69</v>
      </c>
      <c r="E167" s="5">
        <f t="shared" si="9"/>
        <v>1</v>
      </c>
      <c r="F167" s="7">
        <v>33920</v>
      </c>
      <c r="G167" s="5" t="s">
        <v>58</v>
      </c>
      <c r="H167" s="5" t="s">
        <v>248</v>
      </c>
      <c r="I167" s="5">
        <f t="shared" ca="1" si="10"/>
        <v>20</v>
      </c>
      <c r="J167" s="5" t="s">
        <v>71</v>
      </c>
      <c r="K167" s="5" t="s">
        <v>61</v>
      </c>
      <c r="L167" s="7">
        <v>6106</v>
      </c>
      <c r="M167" s="7">
        <f>SUM(F167+L167)</f>
        <v>40026</v>
      </c>
      <c r="N167" s="11">
        <f t="shared" si="11"/>
        <v>0.15255084195273072</v>
      </c>
      <c r="O167" s="10" t="str">
        <f>_xlfn.XLOOKUP(A167,'Reference Data'!A:A,'Reference Data'!B:B)</f>
        <v>Plant Worker</v>
      </c>
      <c r="P167" s="10" t="str">
        <f>_xlfn.XLOOKUP(A167,'Reference Data'!A:A,'Reference Data'!C:C)</f>
        <v>F</v>
      </c>
      <c r="Q167" s="7"/>
      <c r="R167" s="3"/>
      <c r="S167" s="3"/>
      <c r="T167" s="3"/>
      <c r="U167" s="3"/>
      <c r="V167" s="3"/>
    </row>
    <row r="168" spans="1:22" ht="16.5">
      <c r="A168" s="5" t="s">
        <v>402</v>
      </c>
      <c r="B168" s="5" t="s">
        <v>56</v>
      </c>
      <c r="C168" s="6" t="str">
        <f t="shared" si="8"/>
        <v>Tasty New York</v>
      </c>
      <c r="D168" s="5" t="s">
        <v>57</v>
      </c>
      <c r="E168" s="5">
        <f t="shared" si="9"/>
        <v>1</v>
      </c>
      <c r="F168" s="7">
        <v>19345.2</v>
      </c>
      <c r="G168" s="5" t="s">
        <v>77</v>
      </c>
      <c r="H168" s="5" t="s">
        <v>146</v>
      </c>
      <c r="I168" s="5">
        <f t="shared" ca="1" si="10"/>
        <v>20</v>
      </c>
      <c r="J168" s="5" t="s">
        <v>96</v>
      </c>
      <c r="K168" s="5" t="s">
        <v>61</v>
      </c>
      <c r="L168" s="7">
        <v>0</v>
      </c>
      <c r="M168" s="7">
        <f>SUM(F168+L168)</f>
        <v>19345.2</v>
      </c>
      <c r="N168" s="11">
        <f t="shared" si="11"/>
        <v>0</v>
      </c>
      <c r="O168" s="10" t="str">
        <f>_xlfn.XLOOKUP(A168,'Reference Data'!A:A,'Reference Data'!B:B)</f>
        <v>Administrative Support</v>
      </c>
      <c r="P168" s="10" t="str">
        <f>_xlfn.XLOOKUP(A168,'Reference Data'!A:A,'Reference Data'!C:C)</f>
        <v>F</v>
      </c>
      <c r="Q168" s="7"/>
      <c r="R168" s="3"/>
      <c r="S168" s="3"/>
      <c r="T168" s="3"/>
      <c r="U168" s="3"/>
      <c r="V168" s="3"/>
    </row>
    <row r="169" spans="1:22" ht="16.5">
      <c r="A169" s="5" t="s">
        <v>403</v>
      </c>
      <c r="B169" s="5" t="s">
        <v>56</v>
      </c>
      <c r="C169" s="6" t="str">
        <f t="shared" si="8"/>
        <v>Tasty New Jersey</v>
      </c>
      <c r="D169" s="5" t="s">
        <v>89</v>
      </c>
      <c r="E169" s="5">
        <f t="shared" si="9"/>
        <v>0</v>
      </c>
      <c r="F169" s="7">
        <v>75335</v>
      </c>
      <c r="G169" s="5" t="s">
        <v>58</v>
      </c>
      <c r="H169" s="5" t="s">
        <v>404</v>
      </c>
      <c r="I169" s="5">
        <f t="shared" ca="1" si="10"/>
        <v>33</v>
      </c>
      <c r="J169" s="5" t="s">
        <v>91</v>
      </c>
      <c r="K169" s="5" t="s">
        <v>61</v>
      </c>
      <c r="L169" s="7">
        <v>10547</v>
      </c>
      <c r="M169" s="7">
        <f>SUM(F169+L169)</f>
        <v>85882</v>
      </c>
      <c r="N169" s="11">
        <f t="shared" si="11"/>
        <v>0.12280803893714631</v>
      </c>
      <c r="O169" s="10" t="str">
        <f>_xlfn.XLOOKUP(A169,'Reference Data'!A:A,'Reference Data'!B:B)</f>
        <v>Plant Worker</v>
      </c>
      <c r="P169" s="10" t="str">
        <f>_xlfn.XLOOKUP(A169,'Reference Data'!A:A,'Reference Data'!C:C)</f>
        <v>M</v>
      </c>
      <c r="Q169" s="7"/>
    </row>
    <row r="170" spans="1:22" ht="16.5">
      <c r="A170" s="5" t="s">
        <v>405</v>
      </c>
      <c r="B170" s="5" t="s">
        <v>56</v>
      </c>
      <c r="C170" s="6" t="str">
        <f t="shared" si="8"/>
        <v>Tasty New York</v>
      </c>
      <c r="D170" s="5" t="s">
        <v>89</v>
      </c>
      <c r="E170" s="5">
        <f t="shared" si="9"/>
        <v>0</v>
      </c>
      <c r="F170" s="7">
        <v>89032</v>
      </c>
      <c r="G170" s="5" t="s">
        <v>113</v>
      </c>
      <c r="H170" s="5" t="s">
        <v>406</v>
      </c>
      <c r="I170" s="5">
        <f t="shared" ca="1" si="10"/>
        <v>20</v>
      </c>
      <c r="J170" s="5" t="s">
        <v>91</v>
      </c>
      <c r="K170" s="5" t="s">
        <v>115</v>
      </c>
      <c r="L170" s="7">
        <v>8903</v>
      </c>
      <c r="M170" s="7">
        <f>SUM(F170+L170)</f>
        <v>97935</v>
      </c>
      <c r="N170" s="11">
        <f t="shared" si="11"/>
        <v>9.090723439015673E-2</v>
      </c>
      <c r="O170" s="10" t="str">
        <f>_xlfn.XLOOKUP(A170,'Reference Data'!A:A,'Reference Data'!B:B)</f>
        <v>Plant Supervisor</v>
      </c>
      <c r="P170" s="10" t="str">
        <f>_xlfn.XLOOKUP(A170,'Reference Data'!A:A,'Reference Data'!C:C)</f>
        <v>M</v>
      </c>
      <c r="Q170" s="7"/>
      <c r="R170" s="3"/>
      <c r="S170" s="3"/>
      <c r="T170" s="3"/>
      <c r="U170" s="3"/>
      <c r="V170" s="3"/>
    </row>
    <row r="171" spans="1:22" ht="16.5">
      <c r="A171" s="5" t="s">
        <v>407</v>
      </c>
      <c r="B171" s="5" t="s">
        <v>56</v>
      </c>
      <c r="C171" s="6" t="str">
        <f t="shared" si="8"/>
        <v>Tasty New Jersey</v>
      </c>
      <c r="D171" s="5" t="s">
        <v>89</v>
      </c>
      <c r="E171" s="5">
        <f t="shared" si="9"/>
        <v>0</v>
      </c>
      <c r="F171" s="7">
        <v>40675</v>
      </c>
      <c r="G171" s="5" t="s">
        <v>58</v>
      </c>
      <c r="H171" s="5" t="s">
        <v>255</v>
      </c>
      <c r="I171" s="5">
        <f t="shared" ca="1" si="10"/>
        <v>27</v>
      </c>
      <c r="J171" s="5" t="s">
        <v>91</v>
      </c>
      <c r="K171" s="5" t="s">
        <v>61</v>
      </c>
      <c r="L171" s="7">
        <v>6508</v>
      </c>
      <c r="M171" s="7">
        <f>SUM(F171+L171)</f>
        <v>47183</v>
      </c>
      <c r="N171" s="11">
        <f t="shared" si="11"/>
        <v>0.13793103448275862</v>
      </c>
      <c r="O171" s="10" t="str">
        <f>_xlfn.XLOOKUP(A171,'Reference Data'!A:A,'Reference Data'!B:B)</f>
        <v>Plant Worker</v>
      </c>
      <c r="P171" s="10" t="str">
        <f>_xlfn.XLOOKUP(A171,'Reference Data'!A:A,'Reference Data'!C:C)</f>
        <v>M</v>
      </c>
      <c r="Q171" s="7"/>
      <c r="R171" s="3"/>
      <c r="S171" s="3"/>
      <c r="T171" s="3"/>
      <c r="U171" s="3"/>
      <c r="V171" s="3"/>
    </row>
    <row r="172" spans="1:22" ht="16.5">
      <c r="A172" s="5" t="s">
        <v>408</v>
      </c>
      <c r="B172" s="5" t="s">
        <v>56</v>
      </c>
      <c r="C172" s="6" t="str">
        <f t="shared" si="8"/>
        <v>Tasty New Jersey</v>
      </c>
      <c r="D172" s="5" t="s">
        <v>284</v>
      </c>
      <c r="E172" s="5">
        <f t="shared" si="9"/>
        <v>0</v>
      </c>
      <c r="F172" s="7">
        <v>70194</v>
      </c>
      <c r="G172" s="5" t="s">
        <v>58</v>
      </c>
      <c r="H172" s="5" t="s">
        <v>276</v>
      </c>
      <c r="I172" s="5">
        <f t="shared" ca="1" si="10"/>
        <v>23</v>
      </c>
      <c r="J172" s="5" t="s">
        <v>409</v>
      </c>
      <c r="K172" s="5" t="s">
        <v>410</v>
      </c>
      <c r="L172" s="7">
        <v>12635</v>
      </c>
      <c r="M172" s="7">
        <f>SUM(F172+L172)</f>
        <v>82829</v>
      </c>
      <c r="N172" s="11">
        <f t="shared" si="11"/>
        <v>0.15254319139431841</v>
      </c>
      <c r="O172" s="10" t="str">
        <f>_xlfn.XLOOKUP(A172,'Reference Data'!A:A,'Reference Data'!B:B)</f>
        <v>Plant Worker</v>
      </c>
      <c r="P172" s="10" t="str">
        <f>_xlfn.XLOOKUP(A172,'Reference Data'!A:A,'Reference Data'!C:C)</f>
        <v>M</v>
      </c>
      <c r="Q172" s="7"/>
      <c r="R172" s="3"/>
      <c r="S172" s="3"/>
      <c r="T172" s="3"/>
      <c r="U172" s="3"/>
      <c r="V172" s="3"/>
    </row>
    <row r="173" spans="1:22" ht="16.5">
      <c r="A173" s="5" t="s">
        <v>411</v>
      </c>
      <c r="B173" s="5" t="s">
        <v>56</v>
      </c>
      <c r="C173" s="6" t="str">
        <f t="shared" si="8"/>
        <v>Tasty New Jersey</v>
      </c>
      <c r="D173" s="5" t="s">
        <v>328</v>
      </c>
      <c r="E173" s="5">
        <f t="shared" si="9"/>
        <v>0</v>
      </c>
      <c r="F173" s="7">
        <v>362250</v>
      </c>
      <c r="G173" s="5" t="s">
        <v>58</v>
      </c>
      <c r="H173" s="5" t="s">
        <v>412</v>
      </c>
      <c r="I173" s="5">
        <f t="shared" ca="1" si="10"/>
        <v>43</v>
      </c>
      <c r="J173" s="5" t="s">
        <v>413</v>
      </c>
      <c r="K173" s="5" t="s">
        <v>140</v>
      </c>
      <c r="L173" s="7">
        <v>0</v>
      </c>
      <c r="M173" s="7">
        <f>SUM(F173+L173)</f>
        <v>362250</v>
      </c>
      <c r="N173" s="11">
        <f t="shared" si="11"/>
        <v>0</v>
      </c>
      <c r="O173" s="10" t="str">
        <f>_xlfn.XLOOKUP(A173,'Reference Data'!A:A,'Reference Data'!B:B)</f>
        <v>Sales Director</v>
      </c>
      <c r="P173" s="10" t="str">
        <f>_xlfn.XLOOKUP(A173,'Reference Data'!A:A,'Reference Data'!C:C)</f>
        <v>F</v>
      </c>
      <c r="Q173" s="7"/>
      <c r="R173" s="3"/>
      <c r="S173" s="3"/>
      <c r="T173" s="3"/>
      <c r="U173" s="3"/>
      <c r="V173" s="3"/>
    </row>
    <row r="174" spans="1:22" ht="16.5">
      <c r="A174" s="5" t="s">
        <v>414</v>
      </c>
      <c r="B174" s="5" t="s">
        <v>56</v>
      </c>
      <c r="C174" s="6" t="str">
        <f t="shared" si="8"/>
        <v>Tasty New Jersey</v>
      </c>
      <c r="D174" s="5" t="s">
        <v>328</v>
      </c>
      <c r="E174" s="5">
        <f t="shared" si="9"/>
        <v>0</v>
      </c>
      <c r="F174" s="7">
        <v>85287</v>
      </c>
      <c r="G174" s="5" t="s">
        <v>58</v>
      </c>
      <c r="H174" s="5" t="s">
        <v>123</v>
      </c>
      <c r="I174" s="5">
        <f t="shared" ca="1" si="10"/>
        <v>20</v>
      </c>
      <c r="J174" s="5" t="s">
        <v>415</v>
      </c>
      <c r="K174" s="5" t="s">
        <v>140</v>
      </c>
      <c r="L174" s="7">
        <v>0</v>
      </c>
      <c r="M174" s="7">
        <f>SUM(F174+L174)</f>
        <v>85287</v>
      </c>
      <c r="N174" s="11">
        <f t="shared" si="11"/>
        <v>0</v>
      </c>
      <c r="O174" s="10" t="str">
        <f>_xlfn.XLOOKUP(A174,'Reference Data'!A:A,'Reference Data'!B:B)</f>
        <v>Sales Manager</v>
      </c>
      <c r="P174" s="10" t="str">
        <f>_xlfn.XLOOKUP(A174,'Reference Data'!A:A,'Reference Data'!C:C)</f>
        <v>F</v>
      </c>
      <c r="Q174" s="7"/>
    </row>
    <row r="175" spans="1:22" ht="16.5">
      <c r="A175" s="5" t="s">
        <v>416</v>
      </c>
      <c r="B175" s="5" t="s">
        <v>56</v>
      </c>
      <c r="C175" s="6" t="str">
        <f t="shared" si="8"/>
        <v>Tasty New Jersey</v>
      </c>
      <c r="D175" s="5" t="s">
        <v>154</v>
      </c>
      <c r="E175" s="5">
        <f t="shared" si="9"/>
        <v>0</v>
      </c>
      <c r="F175" s="7">
        <v>62852</v>
      </c>
      <c r="G175" s="5" t="s">
        <v>58</v>
      </c>
      <c r="H175" s="5" t="s">
        <v>417</v>
      </c>
      <c r="I175" s="5">
        <f t="shared" ca="1" si="10"/>
        <v>25</v>
      </c>
      <c r="J175" s="5" t="s">
        <v>156</v>
      </c>
      <c r="K175" s="5" t="s">
        <v>61</v>
      </c>
      <c r="L175" s="7">
        <v>0</v>
      </c>
      <c r="M175" s="7">
        <f>SUM(F175+L175)</f>
        <v>62852</v>
      </c>
      <c r="N175" s="11">
        <f t="shared" si="11"/>
        <v>0</v>
      </c>
      <c r="O175" s="10" t="str">
        <f>_xlfn.XLOOKUP(A175,'Reference Data'!A:A,'Reference Data'!B:B)</f>
        <v>Senior Assistant</v>
      </c>
      <c r="P175" s="10" t="str">
        <f>_xlfn.XLOOKUP(A175,'Reference Data'!A:A,'Reference Data'!C:C)</f>
        <v>M</v>
      </c>
      <c r="Q175" s="7"/>
    </row>
    <row r="176" spans="1:22" ht="16.5">
      <c r="A176" s="5" t="s">
        <v>418</v>
      </c>
      <c r="B176" s="5" t="s">
        <v>56</v>
      </c>
      <c r="C176" s="6" t="str">
        <f t="shared" si="8"/>
        <v>Tasty New York</v>
      </c>
      <c r="D176" s="5" t="s">
        <v>284</v>
      </c>
      <c r="E176" s="5">
        <f t="shared" si="9"/>
        <v>0</v>
      </c>
      <c r="F176" s="7">
        <v>155403</v>
      </c>
      <c r="G176" s="5" t="s">
        <v>77</v>
      </c>
      <c r="H176" s="5" t="s">
        <v>269</v>
      </c>
      <c r="I176" s="5">
        <f t="shared" ca="1" si="10"/>
        <v>29</v>
      </c>
      <c r="J176" s="5" t="s">
        <v>409</v>
      </c>
      <c r="K176" s="5" t="s">
        <v>140</v>
      </c>
      <c r="L176" s="7">
        <v>12432</v>
      </c>
      <c r="M176" s="7">
        <f>SUM(F176+L176)</f>
        <v>167835</v>
      </c>
      <c r="N176" s="11">
        <f t="shared" si="11"/>
        <v>7.407275002234337E-2</v>
      </c>
      <c r="O176" s="10" t="str">
        <f>_xlfn.XLOOKUP(A176,'Reference Data'!A:A,'Reference Data'!B:B)</f>
        <v>Plant Manager</v>
      </c>
      <c r="P176" s="10" t="str">
        <f>_xlfn.XLOOKUP(A176,'Reference Data'!A:A,'Reference Data'!C:C)</f>
        <v>M</v>
      </c>
      <c r="Q176" s="7"/>
    </row>
    <row r="177" spans="1:25" ht="16.5">
      <c r="A177" s="5" t="s">
        <v>419</v>
      </c>
      <c r="B177" s="5" t="s">
        <v>56</v>
      </c>
      <c r="C177" s="6" t="str">
        <f t="shared" si="8"/>
        <v>Tasty New York</v>
      </c>
      <c r="D177" s="5" t="s">
        <v>89</v>
      </c>
      <c r="E177" s="5">
        <f t="shared" si="9"/>
        <v>0</v>
      </c>
      <c r="F177" s="7">
        <v>145000</v>
      </c>
      <c r="G177" s="5" t="s">
        <v>113</v>
      </c>
      <c r="H177" s="5" t="s">
        <v>420</v>
      </c>
      <c r="I177" s="5">
        <f t="shared" ca="1" si="10"/>
        <v>37</v>
      </c>
      <c r="J177" s="5" t="s">
        <v>421</v>
      </c>
      <c r="K177" s="5" t="s">
        <v>61</v>
      </c>
      <c r="L177" s="7">
        <v>20300</v>
      </c>
      <c r="M177" s="7">
        <f>SUM(F177+L177)</f>
        <v>165300</v>
      </c>
      <c r="N177" s="11">
        <f t="shared" si="11"/>
        <v>0.12280701754385964</v>
      </c>
      <c r="O177" s="10" t="str">
        <f>_xlfn.XLOOKUP(A177,'Reference Data'!A:A,'Reference Data'!B:B)</f>
        <v>Plant Manager</v>
      </c>
      <c r="P177" s="10" t="str">
        <f>_xlfn.XLOOKUP(A177,'Reference Data'!A:A,'Reference Data'!C:C)</f>
        <v>M</v>
      </c>
      <c r="Q177" s="7"/>
      <c r="R177" s="3"/>
      <c r="S177" s="3"/>
      <c r="T177" s="3"/>
      <c r="U177" s="3"/>
      <c r="V177" s="3"/>
    </row>
    <row r="178" spans="1:25" ht="16.5">
      <c r="A178" s="5" t="s">
        <v>422</v>
      </c>
      <c r="B178" s="5" t="s">
        <v>56</v>
      </c>
      <c r="C178" s="6" t="str">
        <f t="shared" si="8"/>
        <v>Tasty New York</v>
      </c>
      <c r="D178" s="5" t="s">
        <v>284</v>
      </c>
      <c r="E178" s="5">
        <f t="shared" si="9"/>
        <v>0</v>
      </c>
      <c r="F178" s="7">
        <v>159954</v>
      </c>
      <c r="G178" s="5" t="s">
        <v>77</v>
      </c>
      <c r="H178" s="5" t="s">
        <v>276</v>
      </c>
      <c r="I178" s="5">
        <f t="shared" ca="1" si="10"/>
        <v>23</v>
      </c>
      <c r="J178" s="5" t="s">
        <v>409</v>
      </c>
      <c r="K178" s="5" t="s">
        <v>140</v>
      </c>
      <c r="L178" s="7">
        <v>11197</v>
      </c>
      <c r="M178" s="7">
        <f>SUM(F178+L178)</f>
        <v>171151</v>
      </c>
      <c r="N178" s="11">
        <f t="shared" si="11"/>
        <v>6.5421762069751269E-2</v>
      </c>
      <c r="O178" s="10" t="str">
        <f>_xlfn.XLOOKUP(A178,'Reference Data'!A:A,'Reference Data'!B:B)</f>
        <v>Plant Manager</v>
      </c>
      <c r="P178" s="10" t="str">
        <f>_xlfn.XLOOKUP(A178,'Reference Data'!A:A,'Reference Data'!C:C)</f>
        <v>M</v>
      </c>
      <c r="Q178" s="7"/>
      <c r="R178" s="3"/>
      <c r="S178" s="3"/>
      <c r="T178" s="3"/>
      <c r="U178" s="3"/>
      <c r="V178" s="3"/>
    </row>
    <row r="179" spans="1:25" ht="16.5">
      <c r="A179" s="5" t="s">
        <v>423</v>
      </c>
      <c r="B179" s="5" t="s">
        <v>56</v>
      </c>
      <c r="C179" s="6" t="str">
        <f t="shared" si="8"/>
        <v>Tasty New York</v>
      </c>
      <c r="D179" s="5" t="s">
        <v>284</v>
      </c>
      <c r="E179" s="5">
        <f t="shared" si="9"/>
        <v>0</v>
      </c>
      <c r="F179" s="7">
        <v>40717</v>
      </c>
      <c r="G179" s="5" t="s">
        <v>77</v>
      </c>
      <c r="H179" s="5" t="s">
        <v>424</v>
      </c>
      <c r="I179" s="5">
        <f t="shared" ca="1" si="10"/>
        <v>16</v>
      </c>
      <c r="J179" s="5" t="s">
        <v>409</v>
      </c>
      <c r="K179" s="5" t="s">
        <v>140</v>
      </c>
      <c r="L179" s="7">
        <v>0</v>
      </c>
      <c r="M179" s="7">
        <f>SUM(F179+L179)</f>
        <v>40717</v>
      </c>
      <c r="N179" s="11">
        <f t="shared" si="11"/>
        <v>0</v>
      </c>
      <c r="O179" s="10" t="str">
        <f>_xlfn.XLOOKUP(A179,'Reference Data'!A:A,'Reference Data'!B:B)</f>
        <v>Administrative Support</v>
      </c>
      <c r="P179" s="10" t="str">
        <f>_xlfn.XLOOKUP(A179,'Reference Data'!A:A,'Reference Data'!C:C)</f>
        <v>F</v>
      </c>
      <c r="Q179" s="7"/>
      <c r="R179" s="3"/>
      <c r="S179" s="3"/>
      <c r="T179" s="3"/>
      <c r="U179" s="3"/>
      <c r="V179" s="3"/>
    </row>
    <row r="180" spans="1:25" ht="16.5">
      <c r="A180" s="5" t="s">
        <v>425</v>
      </c>
      <c r="B180" s="5" t="s">
        <v>56</v>
      </c>
      <c r="C180" s="6" t="str">
        <f t="shared" si="8"/>
        <v>Tasty New York</v>
      </c>
      <c r="D180" s="5" t="s">
        <v>284</v>
      </c>
      <c r="E180" s="5">
        <f t="shared" si="9"/>
        <v>0</v>
      </c>
      <c r="F180" s="7">
        <v>92324</v>
      </c>
      <c r="G180" s="5" t="s">
        <v>77</v>
      </c>
      <c r="H180" s="5" t="s">
        <v>426</v>
      </c>
      <c r="I180" s="5">
        <f t="shared" ca="1" si="10"/>
        <v>14</v>
      </c>
      <c r="J180" s="5" t="s">
        <v>409</v>
      </c>
      <c r="K180" s="5" t="s">
        <v>140</v>
      </c>
      <c r="L180" s="7">
        <v>1846</v>
      </c>
      <c r="M180" s="7">
        <f>SUM(F180+L180)</f>
        <v>94170</v>
      </c>
      <c r="N180" s="11">
        <f t="shared" si="11"/>
        <v>1.960284591695869E-2</v>
      </c>
      <c r="O180" s="10" t="str">
        <f>_xlfn.XLOOKUP(A180,'Reference Data'!A:A,'Reference Data'!B:B)</f>
        <v>Plant Supervisor</v>
      </c>
      <c r="P180" s="10" t="str">
        <f>_xlfn.XLOOKUP(A180,'Reference Data'!A:A,'Reference Data'!C:C)</f>
        <v>F</v>
      </c>
      <c r="Q180" s="7"/>
    </row>
    <row r="181" spans="1:25" ht="16.5">
      <c r="A181" s="5" t="s">
        <v>427</v>
      </c>
      <c r="B181" s="5" t="s">
        <v>56</v>
      </c>
      <c r="C181" s="6" t="str">
        <f t="shared" si="8"/>
        <v>Tasty New York</v>
      </c>
      <c r="D181" s="5" t="s">
        <v>284</v>
      </c>
      <c r="E181" s="5">
        <f t="shared" si="9"/>
        <v>0</v>
      </c>
      <c r="F181" s="7">
        <v>241749</v>
      </c>
      <c r="G181" s="5" t="s">
        <v>77</v>
      </c>
      <c r="H181" s="5" t="s">
        <v>428</v>
      </c>
      <c r="I181" s="5">
        <f t="shared" ca="1" si="10"/>
        <v>15</v>
      </c>
      <c r="J181" s="5" t="s">
        <v>409</v>
      </c>
      <c r="K181" s="5" t="s">
        <v>140</v>
      </c>
      <c r="L181" s="7">
        <v>0</v>
      </c>
      <c r="M181" s="7">
        <f>SUM(F181+L181)</f>
        <v>241749</v>
      </c>
      <c r="N181" s="11">
        <f t="shared" si="11"/>
        <v>0</v>
      </c>
      <c r="O181" s="10" t="str">
        <f>_xlfn.XLOOKUP(A181,'Reference Data'!A:A,'Reference Data'!B:B)</f>
        <v>CEO</v>
      </c>
      <c r="P181" s="10" t="str">
        <f>_xlfn.XLOOKUP(A181,'Reference Data'!A:A,'Reference Data'!C:C)</f>
        <v>M</v>
      </c>
      <c r="Q181" s="7"/>
      <c r="R181" s="3"/>
      <c r="S181" s="3"/>
      <c r="T181" s="3"/>
      <c r="U181" s="3"/>
      <c r="V181" s="3"/>
    </row>
    <row r="182" spans="1:25" ht="16.5">
      <c r="A182" s="5" t="s">
        <v>429</v>
      </c>
      <c r="B182" s="5" t="s">
        <v>56</v>
      </c>
      <c r="C182" s="6" t="str">
        <f t="shared" si="8"/>
        <v>Tasty New York</v>
      </c>
      <c r="D182" s="5" t="s">
        <v>57</v>
      </c>
      <c r="E182" s="5">
        <f t="shared" si="9"/>
        <v>1</v>
      </c>
      <c r="F182" s="7">
        <v>32100</v>
      </c>
      <c r="G182" s="5" t="s">
        <v>77</v>
      </c>
      <c r="H182" s="5" t="s">
        <v>291</v>
      </c>
      <c r="I182" s="5">
        <f t="shared" ca="1" si="10"/>
        <v>21</v>
      </c>
      <c r="J182" s="5" t="s">
        <v>96</v>
      </c>
      <c r="K182" s="5" t="s">
        <v>61</v>
      </c>
      <c r="L182" s="7">
        <v>0</v>
      </c>
      <c r="M182" s="7">
        <f>SUM(F182+L182)</f>
        <v>32100</v>
      </c>
      <c r="N182" s="11">
        <f t="shared" si="11"/>
        <v>0</v>
      </c>
      <c r="O182" s="10" t="str">
        <f>_xlfn.XLOOKUP(A182,'Reference Data'!A:A,'Reference Data'!B:B)</f>
        <v>Administrative Support</v>
      </c>
      <c r="P182" s="10" t="str">
        <f>_xlfn.XLOOKUP(A182,'Reference Data'!A:A,'Reference Data'!C:C)</f>
        <v>F</v>
      </c>
      <c r="Q182" s="7"/>
    </row>
    <row r="183" spans="1:25" ht="16.5">
      <c r="A183" s="5" t="s">
        <v>430</v>
      </c>
      <c r="B183" s="5" t="s">
        <v>56</v>
      </c>
      <c r="C183" s="6" t="str">
        <f t="shared" si="8"/>
        <v>Tasty New York</v>
      </c>
      <c r="D183" s="5" t="s">
        <v>284</v>
      </c>
      <c r="E183" s="5">
        <f t="shared" si="9"/>
        <v>0</v>
      </c>
      <c r="F183" s="7">
        <v>135286</v>
      </c>
      <c r="G183" s="5" t="s">
        <v>77</v>
      </c>
      <c r="H183" s="5" t="s">
        <v>376</v>
      </c>
      <c r="I183" s="5">
        <f t="shared" ca="1" si="10"/>
        <v>23</v>
      </c>
      <c r="J183" s="5" t="s">
        <v>409</v>
      </c>
      <c r="K183" s="5" t="s">
        <v>140</v>
      </c>
      <c r="L183" s="7">
        <v>12176</v>
      </c>
      <c r="M183" s="7">
        <f>SUM(F183+L183)</f>
        <v>147462</v>
      </c>
      <c r="N183" s="11">
        <f t="shared" si="11"/>
        <v>8.2570424923031016E-2</v>
      </c>
      <c r="O183" s="10" t="str">
        <f>_xlfn.XLOOKUP(A183,'Reference Data'!A:A,'Reference Data'!B:B)</f>
        <v>Plant Manager</v>
      </c>
      <c r="P183" s="10" t="str">
        <f>_xlfn.XLOOKUP(A183,'Reference Data'!A:A,'Reference Data'!C:C)</f>
        <v>M</v>
      </c>
      <c r="Q183" s="7"/>
    </row>
    <row r="184" spans="1:25" ht="16.5">
      <c r="A184" s="5" t="s">
        <v>431</v>
      </c>
      <c r="B184" s="5" t="s">
        <v>56</v>
      </c>
      <c r="C184" s="6" t="str">
        <f t="shared" si="8"/>
        <v>Tasty New York</v>
      </c>
      <c r="D184" s="5" t="s">
        <v>57</v>
      </c>
      <c r="E184" s="5">
        <f t="shared" si="9"/>
        <v>1</v>
      </c>
      <c r="F184" s="7">
        <v>96090</v>
      </c>
      <c r="G184" s="5" t="s">
        <v>77</v>
      </c>
      <c r="H184" s="5" t="s">
        <v>214</v>
      </c>
      <c r="I184" s="5">
        <f t="shared" ca="1" si="10"/>
        <v>24</v>
      </c>
      <c r="J184" s="5" t="s">
        <v>96</v>
      </c>
      <c r="K184" s="5" t="s">
        <v>61</v>
      </c>
      <c r="L184" s="7">
        <v>1922</v>
      </c>
      <c r="M184" s="7">
        <f>SUM(F184+L184)</f>
        <v>98012</v>
      </c>
      <c r="N184" s="11">
        <f t="shared" si="11"/>
        <v>1.9609843692609069E-2</v>
      </c>
      <c r="O184" s="10" t="str">
        <f>_xlfn.XLOOKUP(A184,'Reference Data'!A:A,'Reference Data'!B:B)</f>
        <v>Plant Supervisor</v>
      </c>
      <c r="P184" s="10" t="str">
        <f>_xlfn.XLOOKUP(A184,'Reference Data'!A:A,'Reference Data'!C:C)</f>
        <v>M</v>
      </c>
      <c r="Q184" s="7"/>
      <c r="R184" s="3"/>
      <c r="S184" s="3"/>
      <c r="T184" s="3"/>
      <c r="U184" s="3"/>
      <c r="V184" s="3"/>
    </row>
    <row r="185" spans="1:25" ht="16.5">
      <c r="A185" s="5" t="s">
        <v>432</v>
      </c>
      <c r="B185" s="5" t="s">
        <v>56</v>
      </c>
      <c r="C185" s="6" t="str">
        <f t="shared" si="8"/>
        <v>Tasty New Jersey</v>
      </c>
      <c r="D185" s="5" t="s">
        <v>69</v>
      </c>
      <c r="E185" s="5">
        <f t="shared" si="9"/>
        <v>1</v>
      </c>
      <c r="F185" s="7">
        <v>60500</v>
      </c>
      <c r="G185" s="5" t="s">
        <v>58</v>
      </c>
      <c r="H185" s="5" t="s">
        <v>123</v>
      </c>
      <c r="I185" s="5">
        <f t="shared" ca="1" si="10"/>
        <v>20</v>
      </c>
      <c r="J185" s="5" t="s">
        <v>71</v>
      </c>
      <c r="K185" s="5" t="s">
        <v>75</v>
      </c>
      <c r="L185" s="7">
        <v>0</v>
      </c>
      <c r="M185" s="7">
        <f>SUM(F185+L185)</f>
        <v>60500</v>
      </c>
      <c r="N185" s="11">
        <f t="shared" si="11"/>
        <v>0</v>
      </c>
      <c r="O185" s="10" t="e">
        <f>_xlfn.XLOOKUP(A185,'Reference Data'!A:A,'Reference Data'!B:B)</f>
        <v>#N/A</v>
      </c>
      <c r="P185" s="10" t="e">
        <f>_xlfn.XLOOKUP(A185,'Reference Data'!A:A,'Reference Data'!C:C)</f>
        <v>#N/A</v>
      </c>
      <c r="Q185" s="7"/>
      <c r="R185" s="3"/>
      <c r="S185" s="3"/>
      <c r="T185" s="3"/>
      <c r="U185" s="3"/>
      <c r="V185" s="3"/>
      <c r="Y185" s="2"/>
    </row>
    <row r="186" spans="1:25" ht="16.5">
      <c r="A186" s="5" t="s">
        <v>433</v>
      </c>
      <c r="B186" s="5" t="s">
        <v>56</v>
      </c>
      <c r="C186" s="6" t="str">
        <f t="shared" si="8"/>
        <v>Tasty New York</v>
      </c>
      <c r="D186" s="5" t="s">
        <v>284</v>
      </c>
      <c r="E186" s="5">
        <f t="shared" si="9"/>
        <v>0</v>
      </c>
      <c r="F186" s="7">
        <v>100000</v>
      </c>
      <c r="G186" s="5" t="s">
        <v>77</v>
      </c>
      <c r="H186" s="5" t="s">
        <v>242</v>
      </c>
      <c r="I186" s="5">
        <f t="shared" ca="1" si="10"/>
        <v>24</v>
      </c>
      <c r="J186" s="5" t="s">
        <v>409</v>
      </c>
      <c r="K186" s="5" t="s">
        <v>140</v>
      </c>
      <c r="L186" s="7">
        <v>5000</v>
      </c>
      <c r="M186" s="7">
        <f>SUM(F186+L186)</f>
        <v>105000</v>
      </c>
      <c r="N186" s="11">
        <f t="shared" si="11"/>
        <v>4.7619047619047616E-2</v>
      </c>
      <c r="O186" s="10" t="str">
        <f>_xlfn.XLOOKUP(A186,'Reference Data'!A:A,'Reference Data'!B:B)</f>
        <v>Plant Supervisor</v>
      </c>
      <c r="P186" s="10" t="str">
        <f>_xlfn.XLOOKUP(A186,'Reference Data'!A:A,'Reference Data'!C:C)</f>
        <v>F</v>
      </c>
      <c r="Q186" s="7"/>
      <c r="Y186" s="2"/>
    </row>
    <row r="187" spans="1:25" ht="16.5">
      <c r="A187" s="5" t="s">
        <v>434</v>
      </c>
      <c r="B187" s="5" t="s">
        <v>56</v>
      </c>
      <c r="C187" s="6" t="str">
        <f t="shared" si="8"/>
        <v>Tasty New York</v>
      </c>
      <c r="D187" s="5" t="s">
        <v>284</v>
      </c>
      <c r="E187" s="5">
        <f t="shared" si="9"/>
        <v>0</v>
      </c>
      <c r="F187" s="7">
        <v>229017</v>
      </c>
      <c r="G187" s="5" t="s">
        <v>64</v>
      </c>
      <c r="H187" s="5" t="s">
        <v>273</v>
      </c>
      <c r="I187" s="5">
        <f t="shared" ca="1" si="10"/>
        <v>25</v>
      </c>
      <c r="J187" s="5" t="s">
        <v>409</v>
      </c>
      <c r="K187" s="5" t="s">
        <v>435</v>
      </c>
      <c r="L187" s="7">
        <v>0</v>
      </c>
      <c r="M187" s="7">
        <f>SUM(F187+L187)</f>
        <v>229017</v>
      </c>
      <c r="N187" s="11">
        <f t="shared" si="11"/>
        <v>0</v>
      </c>
      <c r="O187" s="10" t="str">
        <f>_xlfn.XLOOKUP(A187,'Reference Data'!A:A,'Reference Data'!B:B)</f>
        <v>Director</v>
      </c>
      <c r="P187" s="10" t="str">
        <f>_xlfn.XLOOKUP(A187,'Reference Data'!A:A,'Reference Data'!C:C)</f>
        <v>F</v>
      </c>
      <c r="Q187" s="7"/>
      <c r="R187" s="3"/>
      <c r="S187" s="3"/>
      <c r="T187" s="3"/>
      <c r="U187" s="3"/>
      <c r="V187" s="3"/>
      <c r="Y187" s="2"/>
    </row>
    <row r="188" spans="1:25" ht="16.5">
      <c r="A188" s="5" t="s">
        <v>436</v>
      </c>
      <c r="B188" s="5" t="s">
        <v>56</v>
      </c>
      <c r="C188" s="6" t="str">
        <f t="shared" si="8"/>
        <v>Tasty New York</v>
      </c>
      <c r="D188" s="5" t="s">
        <v>57</v>
      </c>
      <c r="E188" s="5">
        <f t="shared" si="9"/>
        <v>1</v>
      </c>
      <c r="F188" s="7">
        <v>91156</v>
      </c>
      <c r="G188" s="5" t="s">
        <v>77</v>
      </c>
      <c r="H188" s="5" t="s">
        <v>259</v>
      </c>
      <c r="I188" s="5">
        <f t="shared" ca="1" si="10"/>
        <v>23</v>
      </c>
      <c r="J188" s="5" t="s">
        <v>96</v>
      </c>
      <c r="K188" s="5" t="s">
        <v>61</v>
      </c>
      <c r="L188" s="7">
        <v>0</v>
      </c>
      <c r="M188" s="7">
        <f>SUM(F188+L188)</f>
        <v>91156</v>
      </c>
      <c r="N188" s="11">
        <f t="shared" si="11"/>
        <v>0</v>
      </c>
      <c r="O188" s="10" t="str">
        <f>_xlfn.XLOOKUP(A188,'Reference Data'!A:A,'Reference Data'!B:B)</f>
        <v>Plant Supervisor</v>
      </c>
      <c r="P188" s="10" t="str">
        <f>_xlfn.XLOOKUP(A188,'Reference Data'!A:A,'Reference Data'!C:C)</f>
        <v>M</v>
      </c>
      <c r="Q188" s="7"/>
      <c r="Y188" s="2"/>
    </row>
    <row r="189" spans="1:25" ht="16.5">
      <c r="A189" s="5" t="s">
        <v>437</v>
      </c>
      <c r="B189" s="5" t="s">
        <v>56</v>
      </c>
      <c r="C189" s="6" t="str">
        <f t="shared" si="8"/>
        <v>Tasty New York</v>
      </c>
      <c r="D189" s="5" t="s">
        <v>284</v>
      </c>
      <c r="E189" s="5">
        <f t="shared" si="9"/>
        <v>0</v>
      </c>
      <c r="F189" s="7">
        <v>40765</v>
      </c>
      <c r="G189" s="5" t="s">
        <v>77</v>
      </c>
      <c r="H189" s="5" t="s">
        <v>438</v>
      </c>
      <c r="I189" s="5">
        <f t="shared" ca="1" si="10"/>
        <v>22</v>
      </c>
      <c r="J189" s="5" t="s">
        <v>409</v>
      </c>
      <c r="K189" s="5" t="s">
        <v>140</v>
      </c>
      <c r="L189" s="7">
        <v>0</v>
      </c>
      <c r="M189" s="7">
        <f>SUM(F189+L189)</f>
        <v>40765</v>
      </c>
      <c r="N189" s="11">
        <f t="shared" si="11"/>
        <v>0</v>
      </c>
      <c r="O189" s="10" t="str">
        <f>_xlfn.XLOOKUP(A189,'Reference Data'!A:A,'Reference Data'!B:B)</f>
        <v>Administrative Support</v>
      </c>
      <c r="P189" s="10" t="str">
        <f>_xlfn.XLOOKUP(A189,'Reference Data'!A:A,'Reference Data'!C:C)</f>
        <v>F</v>
      </c>
      <c r="Q189" s="7"/>
    </row>
    <row r="190" spans="1:25" ht="16.5">
      <c r="A190" s="5" t="s">
        <v>439</v>
      </c>
      <c r="B190" s="5" t="s">
        <v>56</v>
      </c>
      <c r="C190" s="6" t="str">
        <f t="shared" si="8"/>
        <v>Tasty New York</v>
      </c>
      <c r="D190" s="5" t="s">
        <v>284</v>
      </c>
      <c r="E190" s="5">
        <f t="shared" si="9"/>
        <v>0</v>
      </c>
      <c r="F190" s="7">
        <v>197353</v>
      </c>
      <c r="G190" s="5" t="s">
        <v>77</v>
      </c>
      <c r="H190" s="5" t="s">
        <v>158</v>
      </c>
      <c r="I190" s="5">
        <f t="shared" ca="1" si="10"/>
        <v>23</v>
      </c>
      <c r="J190" s="5" t="s">
        <v>409</v>
      </c>
      <c r="K190" s="5" t="s">
        <v>140</v>
      </c>
      <c r="L190" s="7">
        <v>0</v>
      </c>
      <c r="M190" s="7">
        <f>SUM(F190+L190)</f>
        <v>197353</v>
      </c>
      <c r="N190" s="11">
        <f t="shared" si="11"/>
        <v>0</v>
      </c>
      <c r="O190" s="10" t="str">
        <f>_xlfn.XLOOKUP(A190,'Reference Data'!A:A,'Reference Data'!B:B)</f>
        <v>Director</v>
      </c>
      <c r="P190" s="10" t="str">
        <f>_xlfn.XLOOKUP(A190,'Reference Data'!A:A,'Reference Data'!C:C)</f>
        <v>M</v>
      </c>
      <c r="Q190" s="7"/>
    </row>
    <row r="191" spans="1:25" ht="16.5">
      <c r="A191" s="5" t="s">
        <v>440</v>
      </c>
      <c r="B191" s="5" t="s">
        <v>56</v>
      </c>
      <c r="C191" s="6" t="str">
        <f t="shared" si="8"/>
        <v>Tasty New York</v>
      </c>
      <c r="D191" s="5" t="s">
        <v>284</v>
      </c>
      <c r="E191" s="5">
        <f t="shared" si="9"/>
        <v>0</v>
      </c>
      <c r="F191" s="7">
        <v>46367</v>
      </c>
      <c r="G191" s="5" t="s">
        <v>77</v>
      </c>
      <c r="H191" s="5" t="s">
        <v>441</v>
      </c>
      <c r="I191" s="5">
        <f t="shared" ca="1" si="10"/>
        <v>126</v>
      </c>
      <c r="J191" s="5" t="s">
        <v>409</v>
      </c>
      <c r="K191" s="5" t="s">
        <v>140</v>
      </c>
      <c r="L191" s="7">
        <v>0</v>
      </c>
      <c r="M191" s="7">
        <f>SUM(F191+L191)</f>
        <v>46367</v>
      </c>
      <c r="N191" s="11">
        <f t="shared" si="11"/>
        <v>0</v>
      </c>
      <c r="O191" s="10" t="str">
        <f>_xlfn.XLOOKUP(A191,'Reference Data'!A:A,'Reference Data'!B:B)</f>
        <v>Administrative Support</v>
      </c>
      <c r="P191" s="10" t="str">
        <f>_xlfn.XLOOKUP(A191,'Reference Data'!A:A,'Reference Data'!C:C)</f>
        <v>F</v>
      </c>
      <c r="Q191" s="7"/>
    </row>
    <row r="192" spans="1:25" ht="16.5">
      <c r="A192" s="5" t="s">
        <v>442</v>
      </c>
      <c r="B192" s="5" t="s">
        <v>56</v>
      </c>
      <c r="C192" s="6" t="str">
        <f t="shared" si="8"/>
        <v>Tasty New York</v>
      </c>
      <c r="D192" s="5" t="s">
        <v>284</v>
      </c>
      <c r="E192" s="5">
        <f t="shared" si="9"/>
        <v>0</v>
      </c>
      <c r="F192" s="7">
        <v>47056</v>
      </c>
      <c r="G192" s="5" t="s">
        <v>77</v>
      </c>
      <c r="H192" s="5" t="s">
        <v>443</v>
      </c>
      <c r="I192" s="5">
        <f t="shared" ca="1" si="10"/>
        <v>28</v>
      </c>
      <c r="J192" s="5" t="s">
        <v>409</v>
      </c>
      <c r="K192" s="5" t="s">
        <v>140</v>
      </c>
      <c r="L192" s="7">
        <v>0</v>
      </c>
      <c r="M192" s="7">
        <f>SUM(F192+L192)</f>
        <v>47056</v>
      </c>
      <c r="N192" s="11">
        <f t="shared" si="11"/>
        <v>0</v>
      </c>
      <c r="O192" s="10" t="str">
        <f>_xlfn.XLOOKUP(A192,'Reference Data'!A:A,'Reference Data'!B:B)</f>
        <v>Administrative Support</v>
      </c>
      <c r="P192" s="10" t="str">
        <f>_xlfn.XLOOKUP(A192,'Reference Data'!A:A,'Reference Data'!C:C)</f>
        <v>F</v>
      </c>
      <c r="Q192" s="7"/>
    </row>
    <row r="193" spans="1:22" ht="16.5">
      <c r="A193" s="5" t="s">
        <v>425</v>
      </c>
      <c r="B193" s="5" t="s">
        <v>56</v>
      </c>
      <c r="C193" s="6" t="str">
        <f t="shared" si="8"/>
        <v>Tasty New York</v>
      </c>
      <c r="D193" s="5" t="s">
        <v>284</v>
      </c>
      <c r="E193" s="5">
        <f t="shared" si="9"/>
        <v>0</v>
      </c>
      <c r="F193" s="7">
        <v>92324</v>
      </c>
      <c r="G193" s="5" t="s">
        <v>77</v>
      </c>
      <c r="H193" s="5" t="s">
        <v>426</v>
      </c>
      <c r="I193" s="5">
        <f t="shared" ca="1" si="10"/>
        <v>14</v>
      </c>
      <c r="J193" s="5" t="s">
        <v>409</v>
      </c>
      <c r="K193" s="5" t="s">
        <v>140</v>
      </c>
      <c r="L193" s="7">
        <v>0</v>
      </c>
      <c r="M193" s="7">
        <f>SUM(F193+L193)</f>
        <v>92324</v>
      </c>
      <c r="N193" s="11">
        <f t="shared" si="11"/>
        <v>0</v>
      </c>
      <c r="O193" s="10" t="str">
        <f>_xlfn.XLOOKUP(A193,'Reference Data'!A:A,'Reference Data'!B:B)</f>
        <v>Plant Supervisor</v>
      </c>
      <c r="P193" s="10" t="str">
        <f>_xlfn.XLOOKUP(A193,'Reference Data'!A:A,'Reference Data'!C:C)</f>
        <v>F</v>
      </c>
      <c r="Q193" s="7"/>
    </row>
    <row r="194" spans="1:22" ht="16.5">
      <c r="A194" s="5" t="s">
        <v>444</v>
      </c>
      <c r="B194" s="5" t="s">
        <v>56</v>
      </c>
      <c r="C194" s="6" t="str">
        <f t="shared" ref="C194:C202" si="12">IF(G194="NJ","Tasty New Jersey",B194)</f>
        <v>Tasty New York</v>
      </c>
      <c r="D194" s="5" t="s">
        <v>284</v>
      </c>
      <c r="E194" s="5">
        <f t="shared" ref="E194:E202" si="13">IF(LEFT(D194,5)="Tasty",1,0)</f>
        <v>0</v>
      </c>
      <c r="F194" s="7">
        <v>375852.28</v>
      </c>
      <c r="G194" s="5" t="s">
        <v>77</v>
      </c>
      <c r="H194" s="5" t="s">
        <v>445</v>
      </c>
      <c r="I194" s="5">
        <f t="shared" ref="I194:I202" ca="1" si="14">YEAR(TODAY())-YEAR(H194)</f>
        <v>26</v>
      </c>
      <c r="J194" s="5" t="s">
        <v>409</v>
      </c>
      <c r="K194" s="5" t="s">
        <v>140</v>
      </c>
      <c r="L194" s="7">
        <v>0</v>
      </c>
      <c r="M194" s="7">
        <f>SUM(F194+L194)</f>
        <v>375852.28</v>
      </c>
      <c r="N194" s="11">
        <f t="shared" ref="N194:N202" si="15">L194/M194</f>
        <v>0</v>
      </c>
      <c r="O194" s="10" t="str">
        <f>_xlfn.XLOOKUP(A194,'Reference Data'!A:A,'Reference Data'!B:B)</f>
        <v>Director</v>
      </c>
      <c r="P194" s="10" t="str">
        <f>_xlfn.XLOOKUP(A194,'Reference Data'!A:A,'Reference Data'!C:C)</f>
        <v>F</v>
      </c>
      <c r="Q194" s="7"/>
    </row>
    <row r="195" spans="1:22" ht="16.5">
      <c r="A195" s="5" t="s">
        <v>446</v>
      </c>
      <c r="B195" s="5" t="s">
        <v>56</v>
      </c>
      <c r="C195" s="6" t="str">
        <f t="shared" si="12"/>
        <v>Tasty New York</v>
      </c>
      <c r="D195" s="5" t="s">
        <v>284</v>
      </c>
      <c r="E195" s="5">
        <f t="shared" si="13"/>
        <v>0</v>
      </c>
      <c r="F195" s="7">
        <v>142610</v>
      </c>
      <c r="G195" s="5" t="s">
        <v>77</v>
      </c>
      <c r="H195" s="5" t="s">
        <v>214</v>
      </c>
      <c r="I195" s="5">
        <f t="shared" ca="1" si="14"/>
        <v>24</v>
      </c>
      <c r="J195" s="5" t="s">
        <v>409</v>
      </c>
      <c r="K195" s="5" t="s">
        <v>140</v>
      </c>
      <c r="L195" s="7">
        <v>17113</v>
      </c>
      <c r="M195" s="7">
        <f>SUM(F195+L195)</f>
        <v>159723</v>
      </c>
      <c r="N195" s="11">
        <f t="shared" si="15"/>
        <v>0.10714173913587899</v>
      </c>
      <c r="O195" s="10" t="str">
        <f>_xlfn.XLOOKUP(A195,'Reference Data'!A:A,'Reference Data'!B:B)</f>
        <v>Plant Manager</v>
      </c>
      <c r="P195" s="10" t="str">
        <f>_xlfn.XLOOKUP(A195,'Reference Data'!A:A,'Reference Data'!C:C)</f>
        <v>M</v>
      </c>
      <c r="Q195" s="7"/>
    </row>
    <row r="196" spans="1:22" ht="16.5">
      <c r="A196" s="5" t="s">
        <v>447</v>
      </c>
      <c r="B196" s="5" t="s">
        <v>56</v>
      </c>
      <c r="C196" s="6" t="str">
        <f t="shared" si="12"/>
        <v>Tasty New York</v>
      </c>
      <c r="D196" s="5" t="s">
        <v>284</v>
      </c>
      <c r="E196" s="5">
        <f t="shared" si="13"/>
        <v>0</v>
      </c>
      <c r="F196" s="7">
        <v>69641</v>
      </c>
      <c r="G196" s="5" t="s">
        <v>77</v>
      </c>
      <c r="H196" s="5" t="s">
        <v>448</v>
      </c>
      <c r="I196" s="5">
        <f t="shared" ca="1" si="14"/>
        <v>26</v>
      </c>
      <c r="J196" s="5" t="s">
        <v>409</v>
      </c>
      <c r="K196" s="5" t="s">
        <v>140</v>
      </c>
      <c r="L196" s="7">
        <v>2786</v>
      </c>
      <c r="M196" s="7">
        <f>SUM(F196+L196)</f>
        <v>72427</v>
      </c>
      <c r="N196" s="11">
        <f t="shared" si="15"/>
        <v>3.8466317809656619E-2</v>
      </c>
      <c r="O196" s="10" t="str">
        <f>_xlfn.XLOOKUP(A196,'Reference Data'!A:A,'Reference Data'!B:B)</f>
        <v>Plant Worker</v>
      </c>
      <c r="P196" s="10" t="str">
        <f>_xlfn.XLOOKUP(A196,'Reference Data'!A:A,'Reference Data'!C:C)</f>
        <v>F</v>
      </c>
      <c r="Q196" s="7"/>
      <c r="R196" s="3"/>
      <c r="S196" s="3"/>
      <c r="T196" s="3"/>
      <c r="U196" s="3"/>
      <c r="V196" s="3"/>
    </row>
    <row r="197" spans="1:22" ht="16.5">
      <c r="A197" s="5" t="s">
        <v>449</v>
      </c>
      <c r="B197" s="5" t="s">
        <v>56</v>
      </c>
      <c r="C197" s="6" t="str">
        <f t="shared" si="12"/>
        <v>Tasty New York</v>
      </c>
      <c r="D197" s="5" t="s">
        <v>284</v>
      </c>
      <c r="E197" s="5">
        <f t="shared" si="13"/>
        <v>0</v>
      </c>
      <c r="F197" s="7">
        <v>70987</v>
      </c>
      <c r="G197" s="5" t="s">
        <v>77</v>
      </c>
      <c r="H197" s="5" t="s">
        <v>448</v>
      </c>
      <c r="I197" s="5">
        <f t="shared" ca="1" si="14"/>
        <v>26</v>
      </c>
      <c r="J197" s="5" t="s">
        <v>409</v>
      </c>
      <c r="K197" s="5" t="s">
        <v>140</v>
      </c>
      <c r="L197" s="7">
        <v>2839</v>
      </c>
      <c r="M197" s="7">
        <f>SUM(F197+L197)</f>
        <v>73826</v>
      </c>
      <c r="N197" s="11">
        <f t="shared" si="15"/>
        <v>3.8455286755343647E-2</v>
      </c>
      <c r="O197" s="10" t="str">
        <f>_xlfn.XLOOKUP(A197,'Reference Data'!A:A,'Reference Data'!B:B)</f>
        <v>Plant Worker</v>
      </c>
      <c r="P197" s="10" t="str">
        <f>_xlfn.XLOOKUP(A197,'Reference Data'!A:A,'Reference Data'!C:C)</f>
        <v>F</v>
      </c>
      <c r="Q197" s="7"/>
      <c r="R197" s="3"/>
      <c r="S197" s="3"/>
      <c r="T197" s="3"/>
      <c r="U197" s="3"/>
      <c r="V197" s="3"/>
    </row>
    <row r="198" spans="1:22" ht="16.5">
      <c r="A198" s="5" t="s">
        <v>450</v>
      </c>
      <c r="B198" s="5" t="s">
        <v>56</v>
      </c>
      <c r="C198" s="6" t="str">
        <f t="shared" si="12"/>
        <v>Tasty New York</v>
      </c>
      <c r="D198" s="5" t="s">
        <v>284</v>
      </c>
      <c r="E198" s="5">
        <f t="shared" si="13"/>
        <v>0</v>
      </c>
      <c r="F198" s="7">
        <v>30985</v>
      </c>
      <c r="G198" s="5" t="s">
        <v>77</v>
      </c>
      <c r="H198" s="5" t="s">
        <v>451</v>
      </c>
      <c r="I198" s="5">
        <f t="shared" ca="1" si="14"/>
        <v>28</v>
      </c>
      <c r="J198" s="5" t="s">
        <v>409</v>
      </c>
      <c r="K198" s="5" t="s">
        <v>140</v>
      </c>
      <c r="L198" s="7">
        <v>0</v>
      </c>
      <c r="M198" s="7">
        <f>SUM(F198+L198)</f>
        <v>30985</v>
      </c>
      <c r="N198" s="11">
        <f t="shared" si="15"/>
        <v>0</v>
      </c>
      <c r="O198" s="10" t="str">
        <f>_xlfn.XLOOKUP(A198,'Reference Data'!A:A,'Reference Data'!B:B)</f>
        <v>Administrative Support</v>
      </c>
      <c r="P198" s="10" t="str">
        <f>_xlfn.XLOOKUP(A198,'Reference Data'!A:A,'Reference Data'!C:C)</f>
        <v>F</v>
      </c>
      <c r="Q198" s="7"/>
      <c r="R198" s="3"/>
      <c r="S198" s="3"/>
      <c r="T198" s="3"/>
      <c r="U198" s="3"/>
      <c r="V198" s="3"/>
    </row>
    <row r="199" spans="1:22" ht="16.5">
      <c r="A199" s="5" t="s">
        <v>452</v>
      </c>
      <c r="B199" s="5" t="s">
        <v>56</v>
      </c>
      <c r="C199" s="6" t="str">
        <f t="shared" si="12"/>
        <v>Tasty New Jersey</v>
      </c>
      <c r="D199" s="5" t="s">
        <v>150</v>
      </c>
      <c r="E199" s="5">
        <f t="shared" si="13"/>
        <v>0</v>
      </c>
      <c r="F199" s="7">
        <v>95841</v>
      </c>
      <c r="G199" s="5" t="s">
        <v>58</v>
      </c>
      <c r="H199" s="5" t="s">
        <v>453</v>
      </c>
      <c r="I199" s="5">
        <f t="shared" ca="1" si="14"/>
        <v>31</v>
      </c>
      <c r="J199" s="5" t="s">
        <v>152</v>
      </c>
      <c r="K199" s="5" t="s">
        <v>454</v>
      </c>
      <c r="L199" s="7">
        <v>0</v>
      </c>
      <c r="M199" s="7">
        <f>SUM(F199+L199)</f>
        <v>95841</v>
      </c>
      <c r="N199" s="11">
        <f t="shared" si="15"/>
        <v>0</v>
      </c>
      <c r="O199" s="10" t="str">
        <f>_xlfn.XLOOKUP(A199,'Reference Data'!A:A,'Reference Data'!B:B)</f>
        <v>Senior Assistant</v>
      </c>
      <c r="P199" s="10" t="str">
        <f>_xlfn.XLOOKUP(A199,'Reference Data'!A:A,'Reference Data'!C:C)</f>
        <v>M</v>
      </c>
      <c r="Q199" s="7"/>
    </row>
    <row r="200" spans="1:22" ht="16.5">
      <c r="A200" s="5" t="s">
        <v>455</v>
      </c>
      <c r="B200" s="5" t="s">
        <v>56</v>
      </c>
      <c r="C200" s="6" t="str">
        <f t="shared" si="12"/>
        <v>Tasty New Jersey</v>
      </c>
      <c r="D200" s="5" t="s">
        <v>63</v>
      </c>
      <c r="E200" s="5">
        <f t="shared" si="13"/>
        <v>0</v>
      </c>
      <c r="F200" s="7">
        <v>75865</v>
      </c>
      <c r="G200" s="5" t="s">
        <v>58</v>
      </c>
      <c r="H200" s="5" t="s">
        <v>394</v>
      </c>
      <c r="I200" s="5">
        <f t="shared" ca="1" si="14"/>
        <v>19</v>
      </c>
      <c r="J200" s="5" t="s">
        <v>179</v>
      </c>
      <c r="K200" s="5" t="s">
        <v>180</v>
      </c>
      <c r="L200" s="7">
        <v>0</v>
      </c>
      <c r="M200" s="7">
        <f>SUM(F200+L200)</f>
        <v>75865</v>
      </c>
      <c r="N200" s="11">
        <f t="shared" si="15"/>
        <v>0</v>
      </c>
      <c r="O200" s="10" t="str">
        <f>_xlfn.XLOOKUP(A200,'Reference Data'!A:A,'Reference Data'!B:B)</f>
        <v>Senior Assistant</v>
      </c>
      <c r="P200" s="10" t="str">
        <f>_xlfn.XLOOKUP(A200,'Reference Data'!A:A,'Reference Data'!C:C)</f>
        <v>F</v>
      </c>
      <c r="Q200" s="7"/>
    </row>
    <row r="201" spans="1:22" ht="16.5">
      <c r="A201" s="5" t="s">
        <v>456</v>
      </c>
      <c r="B201" s="5" t="s">
        <v>56</v>
      </c>
      <c r="C201" s="6" t="str">
        <f t="shared" si="12"/>
        <v>Tasty New York</v>
      </c>
      <c r="D201" s="5" t="s">
        <v>284</v>
      </c>
      <c r="E201" s="5">
        <f t="shared" si="13"/>
        <v>0</v>
      </c>
      <c r="F201" s="7">
        <v>171238</v>
      </c>
      <c r="G201" s="5" t="s">
        <v>64</v>
      </c>
      <c r="H201" s="5" t="s">
        <v>376</v>
      </c>
      <c r="I201" s="5">
        <f t="shared" ca="1" si="14"/>
        <v>23</v>
      </c>
      <c r="J201" s="5" t="s">
        <v>409</v>
      </c>
      <c r="K201" s="5" t="s">
        <v>435</v>
      </c>
      <c r="L201" s="7">
        <v>25686</v>
      </c>
      <c r="M201" s="7">
        <f>SUM(F201+L201)</f>
        <v>196924</v>
      </c>
      <c r="N201" s="11">
        <f t="shared" si="15"/>
        <v>0.1304361073307469</v>
      </c>
      <c r="O201" s="10" t="str">
        <f>_xlfn.XLOOKUP(A201,'Reference Data'!A:A,'Reference Data'!B:B)</f>
        <v>Plant Leader</v>
      </c>
      <c r="P201" s="10" t="str">
        <f>_xlfn.XLOOKUP(A201,'Reference Data'!A:A,'Reference Data'!C:C)</f>
        <v>M</v>
      </c>
      <c r="Q201" s="7"/>
    </row>
    <row r="202" spans="1:22" ht="16.5">
      <c r="A202" s="5" t="s">
        <v>457</v>
      </c>
      <c r="B202" s="5" t="s">
        <v>56</v>
      </c>
      <c r="C202" s="6" t="str">
        <f t="shared" si="12"/>
        <v>Tasty New York</v>
      </c>
      <c r="D202" s="5" t="s">
        <v>284</v>
      </c>
      <c r="E202" s="5">
        <f t="shared" si="13"/>
        <v>0</v>
      </c>
      <c r="F202" s="7">
        <v>97390</v>
      </c>
      <c r="G202" s="5" t="s">
        <v>64</v>
      </c>
      <c r="H202" s="5" t="s">
        <v>359</v>
      </c>
      <c r="I202" s="5">
        <f t="shared" ca="1" si="14"/>
        <v>25</v>
      </c>
      <c r="J202" s="5" t="s">
        <v>409</v>
      </c>
      <c r="K202" s="5" t="s">
        <v>410</v>
      </c>
      <c r="L202" s="7">
        <v>9739</v>
      </c>
      <c r="M202" s="7">
        <f>SUM(F202+L202)</f>
        <v>107129</v>
      </c>
      <c r="N202" s="11">
        <f t="shared" si="15"/>
        <v>9.0909090909090912E-2</v>
      </c>
      <c r="O202" s="10" t="str">
        <f>_xlfn.XLOOKUP(A202,'Reference Data'!A:A,'Reference Data'!B:B)</f>
        <v>Plant Supervisor</v>
      </c>
      <c r="P202" s="10" t="str">
        <f>_xlfn.XLOOKUP(A202,'Reference Data'!A:A,'Reference Data'!C:C)</f>
        <v>F</v>
      </c>
      <c r="Q202" s="7"/>
      <c r="R202" s="3"/>
      <c r="S202" s="3"/>
      <c r="T202" s="3"/>
      <c r="U202" s="3"/>
      <c r="V202" s="3"/>
    </row>
    <row r="203" spans="1:22">
      <c r="E203" s="5" t="s">
        <v>458</v>
      </c>
      <c r="F203" s="7">
        <f>SUM(F2:F202)</f>
        <v>17680971.109999999</v>
      </c>
      <c r="L203" s="7" t="s">
        <v>459</v>
      </c>
      <c r="M203" s="1">
        <f>SUBTOTAL(109,M2:M202)</f>
        <v>19095383.109999999</v>
      </c>
      <c r="Q203" s="7"/>
      <c r="R203" s="3"/>
      <c r="S203" s="3"/>
      <c r="T203" s="3"/>
      <c r="U203" s="3"/>
      <c r="V203" s="3"/>
    </row>
    <row r="204" spans="1:22">
      <c r="A204" s="5"/>
      <c r="B204" s="5"/>
      <c r="C204" s="5"/>
      <c r="D204" s="5"/>
      <c r="E204" s="8" t="s">
        <v>460</v>
      </c>
      <c r="F204" s="4">
        <f>AVERAGE(F2:F202)</f>
        <v>87965.030398009942</v>
      </c>
      <c r="K204" s="5"/>
      <c r="L204" s="13" t="s">
        <v>461</v>
      </c>
      <c r="M204" s="13">
        <f>SUBTOTAL(101,M2:M202)</f>
        <v>95001.906019900489</v>
      </c>
      <c r="N204" s="14">
        <f>AVERAGEIF(L2:L202,"&gt;0",N2:N202)</f>
        <v>0.13508242717343416</v>
      </c>
      <c r="O204" s="10"/>
      <c r="P204" s="10"/>
      <c r="Q204" s="7"/>
    </row>
    <row r="205" spans="1:22">
      <c r="D205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1573-6404-439F-A876-9187A1DE2336}">
  <dimension ref="A1:D200"/>
  <sheetViews>
    <sheetView workbookViewId="0">
      <selection activeCell="C8" sqref="C8"/>
    </sheetView>
  </sheetViews>
  <sheetFormatPr defaultRowHeight="15.75"/>
  <cols>
    <col min="1" max="1" width="11.25" style="9" bestFit="1" customWidth="1"/>
    <col min="2" max="2" width="23.125" bestFit="1" customWidth="1"/>
    <col min="3" max="3" width="20.125" bestFit="1" customWidth="1"/>
    <col min="4" max="4" width="10.375" bestFit="1" customWidth="1"/>
  </cols>
  <sheetData>
    <row r="1" spans="1:4">
      <c r="A1" s="9" t="s">
        <v>462</v>
      </c>
      <c r="B1" t="s">
        <v>463</v>
      </c>
      <c r="C1" t="s">
        <v>464</v>
      </c>
      <c r="D1" t="s">
        <v>465</v>
      </c>
    </row>
    <row r="2" spans="1:4">
      <c r="A2" s="9" t="s">
        <v>39</v>
      </c>
      <c r="B2" t="s">
        <v>53</v>
      </c>
      <c r="C2" t="s">
        <v>54</v>
      </c>
      <c r="D2" t="s">
        <v>466</v>
      </c>
    </row>
    <row r="3" spans="1:4">
      <c r="A3" s="9" t="s">
        <v>190</v>
      </c>
      <c r="B3" t="s">
        <v>467</v>
      </c>
      <c r="C3" t="s">
        <v>468</v>
      </c>
      <c r="D3" t="s">
        <v>466</v>
      </c>
    </row>
    <row r="4" spans="1:4">
      <c r="A4" s="9" t="s">
        <v>62</v>
      </c>
      <c r="B4" t="s">
        <v>469</v>
      </c>
      <c r="C4" t="s">
        <v>470</v>
      </c>
      <c r="D4" t="s">
        <v>466</v>
      </c>
    </row>
    <row r="5" spans="1:4">
      <c r="A5" s="9" t="s">
        <v>124</v>
      </c>
      <c r="B5" t="s">
        <v>469</v>
      </c>
      <c r="C5" t="s">
        <v>470</v>
      </c>
      <c r="D5" t="s">
        <v>466</v>
      </c>
    </row>
    <row r="6" spans="1:4">
      <c r="A6" s="9" t="s">
        <v>145</v>
      </c>
      <c r="B6" t="s">
        <v>469</v>
      </c>
      <c r="C6" t="s">
        <v>468</v>
      </c>
      <c r="D6" t="s">
        <v>466</v>
      </c>
    </row>
    <row r="7" spans="1:4">
      <c r="A7" s="9" t="s">
        <v>76</v>
      </c>
      <c r="B7" t="s">
        <v>471</v>
      </c>
      <c r="C7" t="s">
        <v>468</v>
      </c>
      <c r="D7" t="s">
        <v>466</v>
      </c>
    </row>
    <row r="8" spans="1:4">
      <c r="A8" s="9" t="s">
        <v>80</v>
      </c>
      <c r="B8" t="s">
        <v>469</v>
      </c>
      <c r="C8" t="s">
        <v>472</v>
      </c>
      <c r="D8" t="s">
        <v>468</v>
      </c>
    </row>
    <row r="9" spans="1:4">
      <c r="A9" s="9" t="s">
        <v>83</v>
      </c>
      <c r="B9" t="s">
        <v>467</v>
      </c>
      <c r="C9" t="s">
        <v>468</v>
      </c>
      <c r="D9" t="s">
        <v>466</v>
      </c>
    </row>
    <row r="10" spans="1:4">
      <c r="A10" s="9" t="s">
        <v>173</v>
      </c>
      <c r="B10" t="s">
        <v>473</v>
      </c>
      <c r="C10" t="s">
        <v>470</v>
      </c>
      <c r="D10" t="s">
        <v>466</v>
      </c>
    </row>
    <row r="11" spans="1:4">
      <c r="A11" s="9" t="s">
        <v>88</v>
      </c>
      <c r="B11" t="s">
        <v>474</v>
      </c>
      <c r="C11" t="s">
        <v>468</v>
      </c>
      <c r="D11" t="s">
        <v>466</v>
      </c>
    </row>
    <row r="12" spans="1:4">
      <c r="A12" s="9" t="s">
        <v>92</v>
      </c>
      <c r="B12" t="s">
        <v>475</v>
      </c>
      <c r="C12" t="s">
        <v>468</v>
      </c>
      <c r="D12" t="s">
        <v>466</v>
      </c>
    </row>
    <row r="13" spans="1:4">
      <c r="A13" s="9" t="s">
        <v>94</v>
      </c>
      <c r="B13" t="s">
        <v>476</v>
      </c>
      <c r="C13" t="s">
        <v>468</v>
      </c>
      <c r="D13" t="s">
        <v>466</v>
      </c>
    </row>
    <row r="14" spans="1:4">
      <c r="A14" s="9" t="s">
        <v>97</v>
      </c>
      <c r="B14" t="s">
        <v>474</v>
      </c>
      <c r="C14" t="s">
        <v>468</v>
      </c>
      <c r="D14" t="s">
        <v>466</v>
      </c>
    </row>
    <row r="15" spans="1:4">
      <c r="A15" s="9" t="s">
        <v>99</v>
      </c>
      <c r="B15" t="s">
        <v>477</v>
      </c>
      <c r="C15" t="s">
        <v>468</v>
      </c>
      <c r="D15" t="s">
        <v>466</v>
      </c>
    </row>
    <row r="16" spans="1:4">
      <c r="A16" s="9" t="s">
        <v>101</v>
      </c>
      <c r="B16" t="s">
        <v>474</v>
      </c>
      <c r="C16" t="s">
        <v>470</v>
      </c>
      <c r="D16" t="s">
        <v>466</v>
      </c>
    </row>
    <row r="17" spans="1:4">
      <c r="A17" s="9" t="s">
        <v>104</v>
      </c>
      <c r="B17" t="s">
        <v>478</v>
      </c>
      <c r="C17" t="s">
        <v>468</v>
      </c>
      <c r="D17" t="s">
        <v>466</v>
      </c>
    </row>
    <row r="18" spans="1:4">
      <c r="A18" s="9" t="s">
        <v>106</v>
      </c>
      <c r="B18" t="s">
        <v>477</v>
      </c>
      <c r="C18" t="s">
        <v>468</v>
      </c>
      <c r="D18" t="s">
        <v>466</v>
      </c>
    </row>
    <row r="19" spans="1:4">
      <c r="A19" s="9" t="s">
        <v>297</v>
      </c>
      <c r="B19" t="s">
        <v>478</v>
      </c>
      <c r="C19" t="s">
        <v>468</v>
      </c>
      <c r="D19" t="s">
        <v>466</v>
      </c>
    </row>
    <row r="20" spans="1:4">
      <c r="A20" s="9" t="s">
        <v>110</v>
      </c>
      <c r="B20" t="s">
        <v>476</v>
      </c>
      <c r="C20" t="s">
        <v>468</v>
      </c>
      <c r="D20" t="s">
        <v>466</v>
      </c>
    </row>
    <row r="21" spans="1:4">
      <c r="A21" s="9" t="s">
        <v>112</v>
      </c>
      <c r="B21" t="s">
        <v>478</v>
      </c>
      <c r="C21" t="s">
        <v>470</v>
      </c>
      <c r="D21" t="s">
        <v>466</v>
      </c>
    </row>
    <row r="22" spans="1:4">
      <c r="A22" s="9" t="s">
        <v>116</v>
      </c>
      <c r="B22" t="s">
        <v>472</v>
      </c>
      <c r="C22" t="s">
        <v>470</v>
      </c>
      <c r="D22" t="s">
        <v>466</v>
      </c>
    </row>
    <row r="23" spans="1:4">
      <c r="A23" s="9" t="s">
        <v>119</v>
      </c>
      <c r="B23" t="s">
        <v>477</v>
      </c>
      <c r="C23" t="s">
        <v>468</v>
      </c>
      <c r="D23" t="s">
        <v>466</v>
      </c>
    </row>
    <row r="24" spans="1:4">
      <c r="A24" s="9" t="s">
        <v>218</v>
      </c>
      <c r="B24" t="s">
        <v>479</v>
      </c>
      <c r="C24" t="s">
        <v>470</v>
      </c>
      <c r="D24" t="s">
        <v>466</v>
      </c>
    </row>
    <row r="25" spans="1:4">
      <c r="A25" s="9" t="s">
        <v>262</v>
      </c>
      <c r="B25" t="s">
        <v>474</v>
      </c>
      <c r="C25" t="s">
        <v>470</v>
      </c>
      <c r="D25" t="s">
        <v>466</v>
      </c>
    </row>
    <row r="26" spans="1:4">
      <c r="A26" s="9" t="s">
        <v>125</v>
      </c>
      <c r="B26" t="s">
        <v>476</v>
      </c>
      <c r="C26" t="s">
        <v>468</v>
      </c>
      <c r="D26" t="s">
        <v>466</v>
      </c>
    </row>
    <row r="27" spans="1:4">
      <c r="A27" s="9" t="s">
        <v>128</v>
      </c>
      <c r="B27" t="s">
        <v>477</v>
      </c>
      <c r="C27" t="s">
        <v>468</v>
      </c>
      <c r="D27" t="s">
        <v>466</v>
      </c>
    </row>
    <row r="28" spans="1:4">
      <c r="A28" s="9" t="s">
        <v>133</v>
      </c>
      <c r="B28" t="s">
        <v>478</v>
      </c>
      <c r="C28" t="s">
        <v>468</v>
      </c>
      <c r="D28" t="s">
        <v>466</v>
      </c>
    </row>
    <row r="29" spans="1:4">
      <c r="A29" s="9" t="s">
        <v>136</v>
      </c>
      <c r="B29" t="s">
        <v>480</v>
      </c>
      <c r="C29" t="s">
        <v>470</v>
      </c>
      <c r="D29" t="s">
        <v>466</v>
      </c>
    </row>
    <row r="30" spans="1:4">
      <c r="A30" s="9" t="s">
        <v>141</v>
      </c>
      <c r="B30" t="s">
        <v>474</v>
      </c>
      <c r="C30" t="s">
        <v>468</v>
      </c>
      <c r="D30" t="s">
        <v>466</v>
      </c>
    </row>
    <row r="31" spans="1:4">
      <c r="A31" s="9" t="s">
        <v>268</v>
      </c>
      <c r="B31" t="s">
        <v>474</v>
      </c>
      <c r="C31" t="s">
        <v>468</v>
      </c>
      <c r="D31" t="s">
        <v>466</v>
      </c>
    </row>
    <row r="32" spans="1:4">
      <c r="A32" s="9" t="s">
        <v>147</v>
      </c>
      <c r="B32" t="s">
        <v>477</v>
      </c>
      <c r="C32" t="s">
        <v>470</v>
      </c>
      <c r="D32" t="s">
        <v>466</v>
      </c>
    </row>
    <row r="33" spans="1:4">
      <c r="A33" s="9" t="s">
        <v>270</v>
      </c>
      <c r="B33" t="s">
        <v>474</v>
      </c>
      <c r="C33" t="s">
        <v>468</v>
      </c>
      <c r="D33" t="s">
        <v>466</v>
      </c>
    </row>
    <row r="34" spans="1:4">
      <c r="A34" s="9" t="s">
        <v>162</v>
      </c>
      <c r="B34" t="s">
        <v>476</v>
      </c>
      <c r="C34" t="s">
        <v>468</v>
      </c>
      <c r="D34" t="s">
        <v>466</v>
      </c>
    </row>
    <row r="35" spans="1:4">
      <c r="A35" s="9" t="s">
        <v>166</v>
      </c>
      <c r="B35" t="s">
        <v>481</v>
      </c>
      <c r="C35" t="s">
        <v>470</v>
      </c>
      <c r="D35" t="s">
        <v>466</v>
      </c>
    </row>
    <row r="36" spans="1:4">
      <c r="A36" s="9" t="s">
        <v>272</v>
      </c>
      <c r="B36" t="s">
        <v>474</v>
      </c>
      <c r="C36" t="s">
        <v>468</v>
      </c>
      <c r="D36" t="s">
        <v>466</v>
      </c>
    </row>
    <row r="37" spans="1:4">
      <c r="A37" s="9" t="s">
        <v>416</v>
      </c>
      <c r="B37" t="s">
        <v>482</v>
      </c>
      <c r="C37" t="s">
        <v>468</v>
      </c>
      <c r="D37" t="s">
        <v>466</v>
      </c>
    </row>
    <row r="38" spans="1:4">
      <c r="A38" s="9" t="s">
        <v>164</v>
      </c>
      <c r="B38" t="s">
        <v>476</v>
      </c>
      <c r="C38" t="s">
        <v>468</v>
      </c>
      <c r="D38" t="s">
        <v>466</v>
      </c>
    </row>
    <row r="39" spans="1:4">
      <c r="A39" s="9" t="s">
        <v>274</v>
      </c>
      <c r="B39" t="s">
        <v>474</v>
      </c>
      <c r="C39" t="s">
        <v>468</v>
      </c>
      <c r="D39" t="s">
        <v>466</v>
      </c>
    </row>
    <row r="40" spans="1:4">
      <c r="A40" s="9" t="s">
        <v>298</v>
      </c>
      <c r="B40" t="s">
        <v>478</v>
      </c>
      <c r="C40" t="s">
        <v>468</v>
      </c>
      <c r="D40" t="s">
        <v>466</v>
      </c>
    </row>
    <row r="41" spans="1:4">
      <c r="A41" s="9" t="s">
        <v>222</v>
      </c>
      <c r="B41" t="s">
        <v>475</v>
      </c>
      <c r="C41" t="s">
        <v>468</v>
      </c>
      <c r="D41" t="s">
        <v>466</v>
      </c>
    </row>
    <row r="42" spans="1:4">
      <c r="A42" s="9" t="s">
        <v>275</v>
      </c>
      <c r="B42" t="s">
        <v>474</v>
      </c>
      <c r="C42" t="s">
        <v>468</v>
      </c>
      <c r="D42" t="s">
        <v>466</v>
      </c>
    </row>
    <row r="43" spans="1:4">
      <c r="A43" s="9" t="s">
        <v>175</v>
      </c>
      <c r="B43" t="s">
        <v>478</v>
      </c>
      <c r="C43" t="s">
        <v>470</v>
      </c>
      <c r="D43" t="s">
        <v>466</v>
      </c>
    </row>
    <row r="44" spans="1:4">
      <c r="A44" s="9" t="s">
        <v>177</v>
      </c>
      <c r="B44" t="s">
        <v>482</v>
      </c>
      <c r="C44" t="s">
        <v>468</v>
      </c>
      <c r="D44" t="s">
        <v>466</v>
      </c>
    </row>
    <row r="45" spans="1:4">
      <c r="A45" s="9" t="s">
        <v>279</v>
      </c>
      <c r="B45" t="s">
        <v>474</v>
      </c>
      <c r="C45" t="s">
        <v>468</v>
      </c>
      <c r="D45" t="s">
        <v>466</v>
      </c>
    </row>
    <row r="46" spans="1:4">
      <c r="A46" s="9" t="s">
        <v>183</v>
      </c>
      <c r="B46" t="s">
        <v>475</v>
      </c>
      <c r="C46" t="s">
        <v>468</v>
      </c>
      <c r="D46" t="s">
        <v>466</v>
      </c>
    </row>
    <row r="47" spans="1:4">
      <c r="A47" s="9" t="s">
        <v>185</v>
      </c>
      <c r="B47" t="s">
        <v>475</v>
      </c>
      <c r="C47" t="s">
        <v>468</v>
      </c>
      <c r="D47" t="s">
        <v>466</v>
      </c>
    </row>
    <row r="48" spans="1:4">
      <c r="A48" s="9" t="s">
        <v>188</v>
      </c>
      <c r="B48" t="s">
        <v>477</v>
      </c>
      <c r="C48" t="s">
        <v>468</v>
      </c>
      <c r="D48" t="s">
        <v>466</v>
      </c>
    </row>
    <row r="49" spans="1:4">
      <c r="A49" s="9" t="s">
        <v>149</v>
      </c>
      <c r="B49" t="s">
        <v>469</v>
      </c>
      <c r="C49" t="s">
        <v>468</v>
      </c>
      <c r="D49" t="s">
        <v>466</v>
      </c>
    </row>
    <row r="50" spans="1:4">
      <c r="A50" s="9" t="s">
        <v>193</v>
      </c>
      <c r="B50" t="s">
        <v>483</v>
      </c>
      <c r="C50" t="s">
        <v>470</v>
      </c>
      <c r="D50" t="s">
        <v>466</v>
      </c>
    </row>
    <row r="51" spans="1:4">
      <c r="A51" s="9" t="s">
        <v>195</v>
      </c>
      <c r="B51" t="s">
        <v>473</v>
      </c>
      <c r="C51" t="s">
        <v>470</v>
      </c>
      <c r="D51" t="s">
        <v>466</v>
      </c>
    </row>
    <row r="52" spans="1:4">
      <c r="A52" s="9" t="s">
        <v>197</v>
      </c>
      <c r="B52" t="s">
        <v>482</v>
      </c>
      <c r="C52" t="s">
        <v>470</v>
      </c>
      <c r="D52" t="s">
        <v>466</v>
      </c>
    </row>
    <row r="53" spans="1:4">
      <c r="A53" s="9" t="s">
        <v>200</v>
      </c>
      <c r="B53" t="s">
        <v>484</v>
      </c>
      <c r="C53" t="s">
        <v>468</v>
      </c>
      <c r="D53" t="s">
        <v>466</v>
      </c>
    </row>
    <row r="54" spans="1:4">
      <c r="A54" s="9" t="s">
        <v>202</v>
      </c>
      <c r="B54" t="s">
        <v>474</v>
      </c>
      <c r="C54" t="s">
        <v>470</v>
      </c>
      <c r="D54" t="s">
        <v>466</v>
      </c>
    </row>
    <row r="55" spans="1:4">
      <c r="A55" s="9" t="s">
        <v>204</v>
      </c>
      <c r="B55" t="s">
        <v>478</v>
      </c>
      <c r="C55" t="s">
        <v>468</v>
      </c>
      <c r="D55" t="s">
        <v>466</v>
      </c>
    </row>
    <row r="56" spans="1:4">
      <c r="A56" s="9" t="s">
        <v>209</v>
      </c>
      <c r="B56" t="s">
        <v>485</v>
      </c>
      <c r="C56" t="s">
        <v>468</v>
      </c>
      <c r="D56" t="s">
        <v>466</v>
      </c>
    </row>
    <row r="57" spans="1:4">
      <c r="A57" s="9" t="s">
        <v>207</v>
      </c>
      <c r="B57" t="s">
        <v>474</v>
      </c>
      <c r="C57" t="s">
        <v>468</v>
      </c>
      <c r="D57" t="s">
        <v>466</v>
      </c>
    </row>
    <row r="58" spans="1:4">
      <c r="A58" s="9" t="s">
        <v>452</v>
      </c>
      <c r="B58" t="s">
        <v>482</v>
      </c>
      <c r="C58" t="s">
        <v>468</v>
      </c>
      <c r="D58" t="s">
        <v>466</v>
      </c>
    </row>
    <row r="59" spans="1:4">
      <c r="A59" s="9" t="s">
        <v>212</v>
      </c>
      <c r="B59" t="s">
        <v>477</v>
      </c>
      <c r="C59" t="s">
        <v>468</v>
      </c>
      <c r="D59" t="s">
        <v>466</v>
      </c>
    </row>
    <row r="60" spans="1:4">
      <c r="A60" s="9" t="s">
        <v>300</v>
      </c>
      <c r="B60" t="s">
        <v>478</v>
      </c>
      <c r="C60" t="s">
        <v>470</v>
      </c>
      <c r="D60" t="s">
        <v>466</v>
      </c>
    </row>
    <row r="61" spans="1:4">
      <c r="A61" s="9" t="s">
        <v>230</v>
      </c>
      <c r="B61" t="s">
        <v>477</v>
      </c>
      <c r="C61" t="s">
        <v>468</v>
      </c>
      <c r="D61" t="s">
        <v>466</v>
      </c>
    </row>
    <row r="62" spans="1:4">
      <c r="A62" s="9" t="s">
        <v>181</v>
      </c>
      <c r="B62" t="s">
        <v>473</v>
      </c>
      <c r="C62" t="s">
        <v>468</v>
      </c>
      <c r="D62" t="s">
        <v>466</v>
      </c>
    </row>
    <row r="63" spans="1:4">
      <c r="A63" s="9" t="s">
        <v>205</v>
      </c>
      <c r="B63" t="s">
        <v>467</v>
      </c>
      <c r="C63" t="s">
        <v>468</v>
      </c>
      <c r="D63" t="s">
        <v>466</v>
      </c>
    </row>
    <row r="64" spans="1:4">
      <c r="A64" s="9" t="s">
        <v>280</v>
      </c>
      <c r="B64" t="s">
        <v>474</v>
      </c>
      <c r="C64" t="s">
        <v>468</v>
      </c>
      <c r="D64" t="s">
        <v>466</v>
      </c>
    </row>
    <row r="65" spans="1:4">
      <c r="A65" s="9" t="s">
        <v>220</v>
      </c>
      <c r="B65" t="s">
        <v>478</v>
      </c>
      <c r="C65" t="s">
        <v>468</v>
      </c>
      <c r="D65" t="s">
        <v>466</v>
      </c>
    </row>
    <row r="66" spans="1:4">
      <c r="A66" s="9" t="s">
        <v>304</v>
      </c>
      <c r="B66" t="s">
        <v>478</v>
      </c>
      <c r="C66" t="s">
        <v>470</v>
      </c>
      <c r="D66" t="s">
        <v>466</v>
      </c>
    </row>
    <row r="67" spans="1:4">
      <c r="A67" s="9" t="s">
        <v>224</v>
      </c>
      <c r="B67" t="s">
        <v>472</v>
      </c>
      <c r="C67" t="s">
        <v>470</v>
      </c>
      <c r="D67" t="s">
        <v>466</v>
      </c>
    </row>
    <row r="68" spans="1:4">
      <c r="A68" s="9" t="s">
        <v>310</v>
      </c>
      <c r="B68" t="s">
        <v>478</v>
      </c>
      <c r="C68" t="s">
        <v>468</v>
      </c>
      <c r="D68" t="s">
        <v>466</v>
      </c>
    </row>
    <row r="69" spans="1:4">
      <c r="A69" s="9" t="s">
        <v>228</v>
      </c>
      <c r="B69" t="s">
        <v>478</v>
      </c>
      <c r="C69" t="s">
        <v>468</v>
      </c>
      <c r="D69" t="s">
        <v>466</v>
      </c>
    </row>
    <row r="70" spans="1:4">
      <c r="A70" s="9" t="s">
        <v>232</v>
      </c>
      <c r="B70" t="s">
        <v>477</v>
      </c>
      <c r="C70" t="s">
        <v>470</v>
      </c>
      <c r="D70" t="s">
        <v>466</v>
      </c>
    </row>
    <row r="71" spans="1:4">
      <c r="A71" s="9" t="s">
        <v>234</v>
      </c>
      <c r="B71" t="s">
        <v>476</v>
      </c>
      <c r="C71" t="s">
        <v>468</v>
      </c>
      <c r="D71" t="s">
        <v>466</v>
      </c>
    </row>
    <row r="72" spans="1:4">
      <c r="A72" s="9" t="s">
        <v>236</v>
      </c>
      <c r="B72" t="s">
        <v>472</v>
      </c>
      <c r="C72" t="s">
        <v>470</v>
      </c>
      <c r="D72" t="s">
        <v>466</v>
      </c>
    </row>
    <row r="73" spans="1:4">
      <c r="A73" s="9" t="s">
        <v>319</v>
      </c>
      <c r="B73" t="s">
        <v>478</v>
      </c>
      <c r="C73" t="s">
        <v>468</v>
      </c>
      <c r="D73" t="s">
        <v>466</v>
      </c>
    </row>
    <row r="74" spans="1:4">
      <c r="A74" s="9" t="s">
        <v>237</v>
      </c>
      <c r="B74" t="s">
        <v>477</v>
      </c>
      <c r="C74" t="s">
        <v>468</v>
      </c>
      <c r="D74" t="s">
        <v>466</v>
      </c>
    </row>
    <row r="75" spans="1:4">
      <c r="A75" s="9" t="s">
        <v>342</v>
      </c>
      <c r="B75" t="s">
        <v>478</v>
      </c>
      <c r="C75" t="s">
        <v>468</v>
      </c>
      <c r="D75" t="s">
        <v>466</v>
      </c>
    </row>
    <row r="76" spans="1:4">
      <c r="A76" s="9" t="s">
        <v>349</v>
      </c>
      <c r="B76" t="s">
        <v>478</v>
      </c>
      <c r="C76" t="s">
        <v>468</v>
      </c>
      <c r="D76" t="s">
        <v>466</v>
      </c>
    </row>
    <row r="77" spans="1:4">
      <c r="A77" s="9" t="s">
        <v>350</v>
      </c>
      <c r="B77" t="s">
        <v>478</v>
      </c>
      <c r="C77" t="s">
        <v>470</v>
      </c>
      <c r="D77" t="s">
        <v>466</v>
      </c>
    </row>
    <row r="78" spans="1:4">
      <c r="A78" s="9" t="s">
        <v>283</v>
      </c>
      <c r="B78" t="s">
        <v>474</v>
      </c>
      <c r="C78" t="s">
        <v>468</v>
      </c>
      <c r="D78" t="s">
        <v>466</v>
      </c>
    </row>
    <row r="79" spans="1:4">
      <c r="A79" s="9" t="s">
        <v>249</v>
      </c>
      <c r="B79" t="s">
        <v>477</v>
      </c>
      <c r="C79" t="s">
        <v>470</v>
      </c>
      <c r="D79" t="s">
        <v>466</v>
      </c>
    </row>
    <row r="80" spans="1:4">
      <c r="A80" s="9" t="s">
        <v>356</v>
      </c>
      <c r="B80" t="s">
        <v>478</v>
      </c>
      <c r="C80" t="s">
        <v>468</v>
      </c>
      <c r="D80" t="s">
        <v>466</v>
      </c>
    </row>
    <row r="81" spans="1:4">
      <c r="A81" s="9" t="s">
        <v>254</v>
      </c>
      <c r="B81" t="s">
        <v>478</v>
      </c>
      <c r="C81" t="s">
        <v>468</v>
      </c>
      <c r="D81" t="s">
        <v>466</v>
      </c>
    </row>
    <row r="82" spans="1:4">
      <c r="A82" s="9" t="s">
        <v>256</v>
      </c>
      <c r="B82" t="s">
        <v>475</v>
      </c>
      <c r="C82" t="s">
        <v>470</v>
      </c>
      <c r="D82" t="s">
        <v>466</v>
      </c>
    </row>
    <row r="83" spans="1:4">
      <c r="A83" s="9" t="s">
        <v>153</v>
      </c>
      <c r="B83" t="s">
        <v>469</v>
      </c>
      <c r="C83" t="s">
        <v>470</v>
      </c>
      <c r="D83" t="s">
        <v>466</v>
      </c>
    </row>
    <row r="84" spans="1:4">
      <c r="A84" s="9" t="s">
        <v>261</v>
      </c>
      <c r="B84" t="s">
        <v>477</v>
      </c>
      <c r="C84" t="s">
        <v>470</v>
      </c>
      <c r="D84" t="s">
        <v>466</v>
      </c>
    </row>
    <row r="85" spans="1:4">
      <c r="A85" s="9" t="s">
        <v>239</v>
      </c>
      <c r="B85" t="s">
        <v>477</v>
      </c>
      <c r="C85" t="s">
        <v>470</v>
      </c>
      <c r="D85" t="s">
        <v>466</v>
      </c>
    </row>
    <row r="86" spans="1:4">
      <c r="A86" s="9" t="s">
        <v>264</v>
      </c>
      <c r="B86" t="s">
        <v>472</v>
      </c>
      <c r="C86" t="s">
        <v>470</v>
      </c>
      <c r="D86" t="s">
        <v>466</v>
      </c>
    </row>
    <row r="87" spans="1:4">
      <c r="A87" s="9" t="s">
        <v>266</v>
      </c>
      <c r="B87" t="s">
        <v>477</v>
      </c>
      <c r="C87" t="s">
        <v>470</v>
      </c>
      <c r="D87" t="s">
        <v>466</v>
      </c>
    </row>
    <row r="88" spans="1:4">
      <c r="A88" s="9" t="s">
        <v>358</v>
      </c>
      <c r="B88" t="s">
        <v>478</v>
      </c>
      <c r="C88" t="s">
        <v>468</v>
      </c>
      <c r="D88" t="s">
        <v>466</v>
      </c>
    </row>
    <row r="89" spans="1:4">
      <c r="A89" s="9" t="s">
        <v>365</v>
      </c>
      <c r="B89" t="s">
        <v>478</v>
      </c>
      <c r="C89" t="s">
        <v>470</v>
      </c>
      <c r="D89" t="s">
        <v>466</v>
      </c>
    </row>
    <row r="90" spans="1:4">
      <c r="A90" s="9" t="s">
        <v>271</v>
      </c>
      <c r="B90" t="s">
        <v>478</v>
      </c>
      <c r="C90" t="s">
        <v>468</v>
      </c>
      <c r="D90" t="s">
        <v>466</v>
      </c>
    </row>
    <row r="91" spans="1:4">
      <c r="A91" s="9" t="s">
        <v>369</v>
      </c>
      <c r="B91" t="s">
        <v>478</v>
      </c>
      <c r="C91" t="s">
        <v>468</v>
      </c>
      <c r="D91" t="s">
        <v>466</v>
      </c>
    </row>
    <row r="92" spans="1:4">
      <c r="A92" s="9" t="s">
        <v>373</v>
      </c>
      <c r="B92" t="s">
        <v>478</v>
      </c>
      <c r="C92" t="s">
        <v>470</v>
      </c>
      <c r="D92" t="s">
        <v>466</v>
      </c>
    </row>
    <row r="93" spans="1:4">
      <c r="A93" s="9" t="s">
        <v>375</v>
      </c>
      <c r="B93" t="s">
        <v>478</v>
      </c>
      <c r="C93" t="s">
        <v>468</v>
      </c>
      <c r="D93" t="s">
        <v>466</v>
      </c>
    </row>
    <row r="94" spans="1:4">
      <c r="A94" s="9" t="s">
        <v>277</v>
      </c>
      <c r="B94" t="s">
        <v>478</v>
      </c>
      <c r="C94" t="s">
        <v>468</v>
      </c>
      <c r="D94" t="s">
        <v>466</v>
      </c>
    </row>
    <row r="95" spans="1:4">
      <c r="A95" s="9" t="s">
        <v>55</v>
      </c>
      <c r="B95" t="s">
        <v>472</v>
      </c>
      <c r="C95" t="s">
        <v>470</v>
      </c>
      <c r="D95" t="s">
        <v>466</v>
      </c>
    </row>
    <row r="96" spans="1:4">
      <c r="A96" s="9" t="s">
        <v>213</v>
      </c>
      <c r="B96" t="s">
        <v>486</v>
      </c>
      <c r="C96" t="s">
        <v>470</v>
      </c>
      <c r="D96" t="s">
        <v>466</v>
      </c>
    </row>
    <row r="97" spans="1:4">
      <c r="A97" s="9" t="s">
        <v>157</v>
      </c>
      <c r="B97" t="s">
        <v>469</v>
      </c>
      <c r="C97" t="s">
        <v>470</v>
      </c>
      <c r="D97" t="s">
        <v>466</v>
      </c>
    </row>
    <row r="98" spans="1:4">
      <c r="A98" s="9" t="s">
        <v>287</v>
      </c>
      <c r="B98" t="s">
        <v>477</v>
      </c>
      <c r="C98" t="s">
        <v>468</v>
      </c>
      <c r="D98" t="s">
        <v>466</v>
      </c>
    </row>
    <row r="99" spans="1:4">
      <c r="A99" s="9" t="s">
        <v>68</v>
      </c>
      <c r="B99" t="s">
        <v>472</v>
      </c>
      <c r="C99" t="s">
        <v>468</v>
      </c>
      <c r="D99" t="s">
        <v>466</v>
      </c>
    </row>
    <row r="100" spans="1:4">
      <c r="A100" s="9" t="s">
        <v>290</v>
      </c>
      <c r="B100" t="s">
        <v>472</v>
      </c>
      <c r="C100" t="s">
        <v>468</v>
      </c>
      <c r="D100" t="s">
        <v>466</v>
      </c>
    </row>
    <row r="101" spans="1:4">
      <c r="A101" s="9" t="s">
        <v>73</v>
      </c>
      <c r="B101" t="s">
        <v>472</v>
      </c>
      <c r="C101" t="s">
        <v>468</v>
      </c>
      <c r="D101" t="s">
        <v>466</v>
      </c>
    </row>
    <row r="102" spans="1:4">
      <c r="A102" s="9" t="s">
        <v>85</v>
      </c>
      <c r="B102" t="s">
        <v>472</v>
      </c>
      <c r="C102" t="s">
        <v>470</v>
      </c>
      <c r="D102" t="s">
        <v>466</v>
      </c>
    </row>
    <row r="103" spans="1:4">
      <c r="A103" s="9" t="s">
        <v>380</v>
      </c>
      <c r="B103" t="s">
        <v>478</v>
      </c>
      <c r="C103" t="s">
        <v>470</v>
      </c>
      <c r="D103" t="s">
        <v>466</v>
      </c>
    </row>
    <row r="104" spans="1:4">
      <c r="A104" s="9" t="s">
        <v>381</v>
      </c>
      <c r="B104" t="s">
        <v>478</v>
      </c>
      <c r="C104" t="s">
        <v>468</v>
      </c>
      <c r="D104" t="s">
        <v>466</v>
      </c>
    </row>
    <row r="105" spans="1:4">
      <c r="A105" s="9" t="s">
        <v>389</v>
      </c>
      <c r="B105" t="s">
        <v>478</v>
      </c>
      <c r="C105" t="s">
        <v>468</v>
      </c>
      <c r="D105" t="s">
        <v>466</v>
      </c>
    </row>
    <row r="106" spans="1:4">
      <c r="A106" s="9" t="s">
        <v>215</v>
      </c>
      <c r="B106" t="s">
        <v>486</v>
      </c>
      <c r="C106" t="s">
        <v>470</v>
      </c>
      <c r="D106" t="s">
        <v>466</v>
      </c>
    </row>
    <row r="107" spans="1:4">
      <c r="A107" s="9" t="s">
        <v>302</v>
      </c>
      <c r="B107" t="s">
        <v>478</v>
      </c>
      <c r="C107" t="s">
        <v>470</v>
      </c>
      <c r="D107" t="s">
        <v>466</v>
      </c>
    </row>
    <row r="108" spans="1:4">
      <c r="A108" s="9" t="s">
        <v>169</v>
      </c>
      <c r="B108" t="s">
        <v>487</v>
      </c>
      <c r="C108" t="s">
        <v>470</v>
      </c>
      <c r="D108" t="s">
        <v>466</v>
      </c>
    </row>
    <row r="109" spans="1:4">
      <c r="A109" s="9" t="s">
        <v>306</v>
      </c>
      <c r="B109" t="s">
        <v>477</v>
      </c>
      <c r="C109" t="s">
        <v>470</v>
      </c>
      <c r="D109" t="s">
        <v>466</v>
      </c>
    </row>
    <row r="110" spans="1:4">
      <c r="A110" s="9" t="s">
        <v>308</v>
      </c>
      <c r="B110" t="s">
        <v>476</v>
      </c>
      <c r="C110" t="s">
        <v>468</v>
      </c>
      <c r="D110" t="s">
        <v>466</v>
      </c>
    </row>
    <row r="111" spans="1:4">
      <c r="A111" s="9" t="s">
        <v>411</v>
      </c>
      <c r="B111" t="s">
        <v>488</v>
      </c>
      <c r="C111" t="s">
        <v>470</v>
      </c>
      <c r="D111" t="s">
        <v>466</v>
      </c>
    </row>
    <row r="112" spans="1:4">
      <c r="A112" s="9" t="s">
        <v>312</v>
      </c>
      <c r="B112" t="s">
        <v>474</v>
      </c>
      <c r="C112" t="s">
        <v>468</v>
      </c>
      <c r="D112" t="s">
        <v>466</v>
      </c>
    </row>
    <row r="113" spans="1:4">
      <c r="A113" s="9" t="s">
        <v>314</v>
      </c>
      <c r="B113" t="s">
        <v>477</v>
      </c>
      <c r="C113" t="s">
        <v>470</v>
      </c>
      <c r="D113" t="s">
        <v>466</v>
      </c>
    </row>
    <row r="114" spans="1:4">
      <c r="A114" s="9" t="s">
        <v>316</v>
      </c>
      <c r="B114" t="s">
        <v>477</v>
      </c>
      <c r="C114" t="s">
        <v>468</v>
      </c>
      <c r="D114" t="s">
        <v>466</v>
      </c>
    </row>
    <row r="115" spans="1:4">
      <c r="A115" s="9" t="s">
        <v>318</v>
      </c>
      <c r="B115" t="s">
        <v>474</v>
      </c>
      <c r="C115" t="s">
        <v>470</v>
      </c>
      <c r="D115" t="s">
        <v>466</v>
      </c>
    </row>
    <row r="116" spans="1:4">
      <c r="A116" s="9" t="s">
        <v>288</v>
      </c>
      <c r="B116" t="s">
        <v>474</v>
      </c>
      <c r="C116" t="s">
        <v>468</v>
      </c>
      <c r="D116" t="s">
        <v>466</v>
      </c>
    </row>
    <row r="117" spans="1:4">
      <c r="A117" s="9" t="s">
        <v>320</v>
      </c>
      <c r="B117" t="s">
        <v>472</v>
      </c>
      <c r="C117" t="s">
        <v>470</v>
      </c>
      <c r="D117" t="s">
        <v>466</v>
      </c>
    </row>
    <row r="118" spans="1:4">
      <c r="A118" s="9" t="s">
        <v>322</v>
      </c>
      <c r="B118" t="s">
        <v>472</v>
      </c>
      <c r="C118" t="s">
        <v>470</v>
      </c>
      <c r="D118" t="s">
        <v>466</v>
      </c>
    </row>
    <row r="119" spans="1:4">
      <c r="A119" s="9" t="s">
        <v>324</v>
      </c>
      <c r="B119" t="s">
        <v>474</v>
      </c>
      <c r="C119" t="s">
        <v>470</v>
      </c>
      <c r="D119" t="s">
        <v>466</v>
      </c>
    </row>
    <row r="120" spans="1:4">
      <c r="A120" s="9" t="s">
        <v>327</v>
      </c>
      <c r="B120" t="s">
        <v>489</v>
      </c>
      <c r="C120" t="s">
        <v>468</v>
      </c>
      <c r="D120" t="s">
        <v>466</v>
      </c>
    </row>
    <row r="121" spans="1:4">
      <c r="A121" s="9" t="s">
        <v>331</v>
      </c>
      <c r="B121" t="s">
        <v>472</v>
      </c>
      <c r="C121" t="s">
        <v>470</v>
      </c>
      <c r="D121" t="s">
        <v>466</v>
      </c>
    </row>
    <row r="122" spans="1:4">
      <c r="A122" s="9" t="s">
        <v>332</v>
      </c>
      <c r="B122" t="s">
        <v>474</v>
      </c>
      <c r="C122" t="s">
        <v>468</v>
      </c>
      <c r="D122" t="s">
        <v>466</v>
      </c>
    </row>
    <row r="123" spans="1:4">
      <c r="A123" s="9" t="s">
        <v>334</v>
      </c>
      <c r="B123" t="s">
        <v>472</v>
      </c>
      <c r="C123" t="s">
        <v>468</v>
      </c>
      <c r="D123" t="s">
        <v>466</v>
      </c>
    </row>
    <row r="124" spans="1:4">
      <c r="A124" s="9" t="s">
        <v>336</v>
      </c>
      <c r="B124" t="s">
        <v>472</v>
      </c>
      <c r="C124" t="s">
        <v>470</v>
      </c>
      <c r="D124" t="s">
        <v>466</v>
      </c>
    </row>
    <row r="125" spans="1:4">
      <c r="A125" s="9" t="s">
        <v>337</v>
      </c>
      <c r="B125" t="s">
        <v>474</v>
      </c>
      <c r="C125" t="s">
        <v>468</v>
      </c>
      <c r="D125" t="s">
        <v>466</v>
      </c>
    </row>
    <row r="126" spans="1:4">
      <c r="A126" s="9" t="s">
        <v>338</v>
      </c>
      <c r="B126" t="s">
        <v>474</v>
      </c>
      <c r="C126" t="s">
        <v>468</v>
      </c>
      <c r="D126" t="s">
        <v>466</v>
      </c>
    </row>
    <row r="127" spans="1:4">
      <c r="A127" s="9" t="s">
        <v>340</v>
      </c>
      <c r="B127" t="s">
        <v>478</v>
      </c>
      <c r="C127" t="s">
        <v>468</v>
      </c>
      <c r="D127" t="s">
        <v>466</v>
      </c>
    </row>
    <row r="128" spans="1:4">
      <c r="A128" s="9" t="s">
        <v>226</v>
      </c>
      <c r="B128" t="s">
        <v>475</v>
      </c>
      <c r="C128" t="s">
        <v>468</v>
      </c>
      <c r="D128" t="s">
        <v>466</v>
      </c>
    </row>
    <row r="129" spans="1:4">
      <c r="A129" s="9" t="s">
        <v>343</v>
      </c>
      <c r="B129" t="s">
        <v>477</v>
      </c>
      <c r="C129" t="s">
        <v>470</v>
      </c>
      <c r="D129" t="s">
        <v>466</v>
      </c>
    </row>
    <row r="130" spans="1:4">
      <c r="A130" s="9" t="s">
        <v>344</v>
      </c>
      <c r="B130" t="s">
        <v>478</v>
      </c>
      <c r="C130" t="s">
        <v>470</v>
      </c>
      <c r="D130" t="s">
        <v>466</v>
      </c>
    </row>
    <row r="131" spans="1:4">
      <c r="A131" s="9" t="s">
        <v>346</v>
      </c>
      <c r="B131" t="s">
        <v>472</v>
      </c>
      <c r="C131" t="s">
        <v>470</v>
      </c>
      <c r="D131" t="s">
        <v>466</v>
      </c>
    </row>
    <row r="132" spans="1:4">
      <c r="A132" s="9" t="s">
        <v>348</v>
      </c>
      <c r="B132" t="s">
        <v>477</v>
      </c>
      <c r="C132" t="s">
        <v>468</v>
      </c>
      <c r="D132" t="s">
        <v>466</v>
      </c>
    </row>
    <row r="133" spans="1:4">
      <c r="A133" s="9" t="s">
        <v>241</v>
      </c>
      <c r="B133" t="s">
        <v>477</v>
      </c>
      <c r="C133" t="s">
        <v>470</v>
      </c>
      <c r="D133" t="s">
        <v>466</v>
      </c>
    </row>
    <row r="134" spans="1:4">
      <c r="A134" s="9" t="s">
        <v>414</v>
      </c>
      <c r="B134" t="s">
        <v>490</v>
      </c>
      <c r="C134" t="s">
        <v>470</v>
      </c>
      <c r="D134" t="s">
        <v>466</v>
      </c>
    </row>
    <row r="135" spans="1:4">
      <c r="A135" s="9" t="s">
        <v>351</v>
      </c>
      <c r="B135" t="s">
        <v>472</v>
      </c>
      <c r="C135" t="s">
        <v>470</v>
      </c>
      <c r="D135" t="s">
        <v>466</v>
      </c>
    </row>
    <row r="136" spans="1:4">
      <c r="A136" s="9" t="s">
        <v>353</v>
      </c>
      <c r="B136" t="s">
        <v>491</v>
      </c>
      <c r="C136" t="s">
        <v>468</v>
      </c>
      <c r="D136" t="s">
        <v>466</v>
      </c>
    </row>
    <row r="137" spans="1:4">
      <c r="A137" s="9" t="s">
        <v>354</v>
      </c>
      <c r="B137" t="s">
        <v>478</v>
      </c>
      <c r="C137" t="s">
        <v>468</v>
      </c>
      <c r="D137" t="s">
        <v>466</v>
      </c>
    </row>
    <row r="138" spans="1:4">
      <c r="A138" s="9" t="s">
        <v>391</v>
      </c>
      <c r="B138" t="s">
        <v>478</v>
      </c>
      <c r="C138" t="s">
        <v>470</v>
      </c>
      <c r="D138" t="s">
        <v>466</v>
      </c>
    </row>
    <row r="139" spans="1:4">
      <c r="A139" s="9" t="s">
        <v>392</v>
      </c>
      <c r="B139" t="s">
        <v>478</v>
      </c>
      <c r="C139" t="s">
        <v>468</v>
      </c>
      <c r="D139" t="s">
        <v>466</v>
      </c>
    </row>
    <row r="140" spans="1:4">
      <c r="A140" s="9" t="s">
        <v>360</v>
      </c>
      <c r="B140" t="s">
        <v>474</v>
      </c>
      <c r="C140" t="s">
        <v>468</v>
      </c>
      <c r="D140" t="s">
        <v>466</v>
      </c>
    </row>
    <row r="141" spans="1:4">
      <c r="A141" s="9" t="s">
        <v>362</v>
      </c>
      <c r="B141" t="s">
        <v>478</v>
      </c>
      <c r="C141" t="s">
        <v>470</v>
      </c>
      <c r="D141" t="s">
        <v>466</v>
      </c>
    </row>
    <row r="142" spans="1:4">
      <c r="A142" s="9" t="s">
        <v>363</v>
      </c>
      <c r="B142" t="s">
        <v>474</v>
      </c>
      <c r="C142" t="s">
        <v>468</v>
      </c>
      <c r="D142" t="s">
        <v>466</v>
      </c>
    </row>
    <row r="143" spans="1:4">
      <c r="A143" s="9" t="s">
        <v>243</v>
      </c>
      <c r="B143" t="s">
        <v>477</v>
      </c>
      <c r="C143" t="s">
        <v>470</v>
      </c>
      <c r="D143" t="s">
        <v>466</v>
      </c>
    </row>
    <row r="144" spans="1:4">
      <c r="A144" s="9" t="s">
        <v>367</v>
      </c>
      <c r="B144" t="s">
        <v>472</v>
      </c>
      <c r="C144" t="s">
        <v>470</v>
      </c>
      <c r="D144" t="s">
        <v>466</v>
      </c>
    </row>
    <row r="145" spans="1:4">
      <c r="A145" s="9" t="s">
        <v>108</v>
      </c>
      <c r="B145" t="s">
        <v>472</v>
      </c>
      <c r="C145" t="s">
        <v>470</v>
      </c>
      <c r="D145" t="s">
        <v>466</v>
      </c>
    </row>
    <row r="146" spans="1:4">
      <c r="A146" s="9" t="s">
        <v>370</v>
      </c>
      <c r="B146" t="s">
        <v>478</v>
      </c>
      <c r="C146" t="s">
        <v>470</v>
      </c>
      <c r="D146" t="s">
        <v>466</v>
      </c>
    </row>
    <row r="147" spans="1:4">
      <c r="A147" s="9" t="s">
        <v>372</v>
      </c>
      <c r="B147" t="s">
        <v>474</v>
      </c>
      <c r="C147" t="s">
        <v>470</v>
      </c>
      <c r="D147" t="s">
        <v>466</v>
      </c>
    </row>
    <row r="148" spans="1:4">
      <c r="A148" s="9" t="s">
        <v>245</v>
      </c>
      <c r="B148" t="s">
        <v>477</v>
      </c>
      <c r="C148" t="s">
        <v>470</v>
      </c>
      <c r="D148" t="s">
        <v>466</v>
      </c>
    </row>
    <row r="149" spans="1:4">
      <c r="A149" s="9" t="s">
        <v>292</v>
      </c>
      <c r="B149" t="s">
        <v>474</v>
      </c>
      <c r="C149" t="s">
        <v>468</v>
      </c>
      <c r="D149" t="s">
        <v>466</v>
      </c>
    </row>
    <row r="150" spans="1:4">
      <c r="A150" s="9" t="s">
        <v>377</v>
      </c>
      <c r="B150" t="s">
        <v>472</v>
      </c>
      <c r="C150" t="s">
        <v>470</v>
      </c>
      <c r="D150" t="s">
        <v>466</v>
      </c>
    </row>
    <row r="151" spans="1:4">
      <c r="A151" s="9" t="s">
        <v>492</v>
      </c>
      <c r="B151" t="s">
        <v>478</v>
      </c>
      <c r="C151" t="s">
        <v>468</v>
      </c>
      <c r="D151" t="s">
        <v>466</v>
      </c>
    </row>
    <row r="152" spans="1:4">
      <c r="A152" s="9" t="s">
        <v>378</v>
      </c>
      <c r="B152" t="s">
        <v>474</v>
      </c>
      <c r="C152" t="s">
        <v>468</v>
      </c>
      <c r="D152" t="s">
        <v>466</v>
      </c>
    </row>
    <row r="153" spans="1:4">
      <c r="A153" s="9" t="s">
        <v>294</v>
      </c>
      <c r="B153" t="s">
        <v>474</v>
      </c>
      <c r="C153" t="s">
        <v>468</v>
      </c>
      <c r="D153" t="s">
        <v>466</v>
      </c>
    </row>
    <row r="154" spans="1:4">
      <c r="A154" s="9" t="s">
        <v>247</v>
      </c>
      <c r="B154" t="s">
        <v>477</v>
      </c>
      <c r="C154" t="s">
        <v>468</v>
      </c>
      <c r="D154" t="s">
        <v>466</v>
      </c>
    </row>
    <row r="155" spans="1:4">
      <c r="A155" s="9" t="s">
        <v>384</v>
      </c>
      <c r="B155" t="s">
        <v>478</v>
      </c>
      <c r="C155" t="s">
        <v>468</v>
      </c>
      <c r="D155" t="s">
        <v>466</v>
      </c>
    </row>
    <row r="156" spans="1:4">
      <c r="A156" s="9" t="s">
        <v>385</v>
      </c>
      <c r="B156" t="s">
        <v>477</v>
      </c>
      <c r="C156" t="s">
        <v>468</v>
      </c>
      <c r="D156" t="s">
        <v>466</v>
      </c>
    </row>
    <row r="157" spans="1:4">
      <c r="A157" s="9" t="s">
        <v>387</v>
      </c>
      <c r="B157" t="s">
        <v>476</v>
      </c>
      <c r="C157" t="s">
        <v>468</v>
      </c>
      <c r="D157" t="s">
        <v>466</v>
      </c>
    </row>
    <row r="158" spans="1:4">
      <c r="A158" s="9" t="s">
        <v>296</v>
      </c>
      <c r="B158" t="s">
        <v>474</v>
      </c>
      <c r="C158" t="s">
        <v>470</v>
      </c>
      <c r="D158" t="s">
        <v>466</v>
      </c>
    </row>
    <row r="159" spans="1:4">
      <c r="A159" s="9" t="s">
        <v>217</v>
      </c>
      <c r="B159" t="s">
        <v>493</v>
      </c>
      <c r="C159" t="s">
        <v>470</v>
      </c>
      <c r="D159" t="s">
        <v>466</v>
      </c>
    </row>
    <row r="160" spans="1:4">
      <c r="A160" s="9" t="s">
        <v>122</v>
      </c>
      <c r="B160" t="s">
        <v>472</v>
      </c>
      <c r="C160" t="s">
        <v>468</v>
      </c>
      <c r="D160" t="s">
        <v>466</v>
      </c>
    </row>
    <row r="161" spans="1:4">
      <c r="A161" s="9" t="s">
        <v>393</v>
      </c>
      <c r="B161" t="s">
        <v>472</v>
      </c>
      <c r="C161" t="s">
        <v>470</v>
      </c>
      <c r="D161" t="s">
        <v>466</v>
      </c>
    </row>
    <row r="162" spans="1:4">
      <c r="A162" s="9" t="s">
        <v>395</v>
      </c>
      <c r="B162" t="s">
        <v>478</v>
      </c>
      <c r="C162" t="s">
        <v>470</v>
      </c>
      <c r="D162" t="s">
        <v>466</v>
      </c>
    </row>
    <row r="163" spans="1:4">
      <c r="A163" s="9" t="s">
        <v>397</v>
      </c>
      <c r="B163" t="s">
        <v>472</v>
      </c>
      <c r="C163" t="s">
        <v>470</v>
      </c>
      <c r="D163" t="s">
        <v>466</v>
      </c>
    </row>
    <row r="164" spans="1:4">
      <c r="A164" s="9" t="s">
        <v>399</v>
      </c>
      <c r="B164" t="s">
        <v>477</v>
      </c>
      <c r="C164" t="s">
        <v>470</v>
      </c>
      <c r="D164" t="s">
        <v>466</v>
      </c>
    </row>
    <row r="165" spans="1:4">
      <c r="A165" s="9" t="s">
        <v>401</v>
      </c>
      <c r="B165" t="s">
        <v>478</v>
      </c>
      <c r="C165" t="s">
        <v>470</v>
      </c>
      <c r="D165" t="s">
        <v>466</v>
      </c>
    </row>
    <row r="166" spans="1:4">
      <c r="A166" s="9" t="s">
        <v>402</v>
      </c>
      <c r="B166" t="s">
        <v>472</v>
      </c>
      <c r="C166" t="s">
        <v>470</v>
      </c>
      <c r="D166" t="s">
        <v>466</v>
      </c>
    </row>
    <row r="167" spans="1:4">
      <c r="A167" s="9" t="s">
        <v>455</v>
      </c>
      <c r="B167" t="s">
        <v>482</v>
      </c>
      <c r="C167" t="s">
        <v>470</v>
      </c>
      <c r="D167" t="s">
        <v>466</v>
      </c>
    </row>
    <row r="168" spans="1:4">
      <c r="A168" s="9" t="s">
        <v>405</v>
      </c>
      <c r="B168" t="s">
        <v>474</v>
      </c>
      <c r="C168" t="s">
        <v>468</v>
      </c>
      <c r="D168" t="s">
        <v>466</v>
      </c>
    </row>
    <row r="169" spans="1:4">
      <c r="A169" s="9" t="s">
        <v>494</v>
      </c>
      <c r="B169" t="s">
        <v>478</v>
      </c>
      <c r="C169" t="s">
        <v>468</v>
      </c>
      <c r="D169" t="s">
        <v>466</v>
      </c>
    </row>
    <row r="170" spans="1:4">
      <c r="A170" s="9" t="s">
        <v>403</v>
      </c>
      <c r="B170" t="s">
        <v>478</v>
      </c>
      <c r="C170" t="s">
        <v>468</v>
      </c>
      <c r="D170" t="s">
        <v>466</v>
      </c>
    </row>
    <row r="171" spans="1:4">
      <c r="A171" s="9" t="s">
        <v>407</v>
      </c>
      <c r="B171" t="s">
        <v>478</v>
      </c>
      <c r="C171" t="s">
        <v>468</v>
      </c>
      <c r="D171" t="s">
        <v>466</v>
      </c>
    </row>
    <row r="172" spans="1:4">
      <c r="A172" s="9" t="s">
        <v>252</v>
      </c>
      <c r="B172" t="s">
        <v>477</v>
      </c>
      <c r="C172" t="s">
        <v>468</v>
      </c>
      <c r="D172" t="s">
        <v>466</v>
      </c>
    </row>
    <row r="173" spans="1:4">
      <c r="A173" s="9" t="s">
        <v>258</v>
      </c>
      <c r="B173" t="s">
        <v>477</v>
      </c>
      <c r="C173" t="s">
        <v>468</v>
      </c>
      <c r="D173" t="s">
        <v>466</v>
      </c>
    </row>
    <row r="174" spans="1:4">
      <c r="A174" s="9" t="s">
        <v>418</v>
      </c>
      <c r="B174" t="s">
        <v>477</v>
      </c>
      <c r="C174" t="s">
        <v>468</v>
      </c>
      <c r="D174" t="s">
        <v>466</v>
      </c>
    </row>
    <row r="175" spans="1:4">
      <c r="A175" s="9" t="s">
        <v>419</v>
      </c>
      <c r="B175" t="s">
        <v>477</v>
      </c>
      <c r="C175" t="s">
        <v>468</v>
      </c>
      <c r="D175" t="s">
        <v>466</v>
      </c>
    </row>
    <row r="176" spans="1:4">
      <c r="A176" s="9" t="s">
        <v>422</v>
      </c>
      <c r="B176" t="s">
        <v>477</v>
      </c>
      <c r="C176" t="s">
        <v>468</v>
      </c>
      <c r="D176" t="s">
        <v>466</v>
      </c>
    </row>
    <row r="177" spans="1:4">
      <c r="A177" s="9" t="s">
        <v>423</v>
      </c>
      <c r="B177" t="s">
        <v>472</v>
      </c>
      <c r="C177" t="s">
        <v>470</v>
      </c>
      <c r="D177" t="s">
        <v>466</v>
      </c>
    </row>
    <row r="178" spans="1:4">
      <c r="A178" s="9" t="s">
        <v>425</v>
      </c>
      <c r="B178" t="s">
        <v>474</v>
      </c>
      <c r="C178" t="s">
        <v>470</v>
      </c>
      <c r="D178" t="s">
        <v>466</v>
      </c>
    </row>
    <row r="179" spans="1:4">
      <c r="A179" s="9" t="s">
        <v>427</v>
      </c>
      <c r="B179" t="s">
        <v>495</v>
      </c>
      <c r="C179" t="s">
        <v>468</v>
      </c>
      <c r="D179" t="s">
        <v>466</v>
      </c>
    </row>
    <row r="180" spans="1:4">
      <c r="A180" s="9" t="s">
        <v>429</v>
      </c>
      <c r="B180" t="s">
        <v>472</v>
      </c>
      <c r="C180" t="s">
        <v>470</v>
      </c>
      <c r="D180" t="s">
        <v>466</v>
      </c>
    </row>
    <row r="181" spans="1:4">
      <c r="A181" s="9" t="s">
        <v>430</v>
      </c>
      <c r="B181" t="s">
        <v>477</v>
      </c>
      <c r="C181" t="s">
        <v>468</v>
      </c>
      <c r="D181" t="s">
        <v>466</v>
      </c>
    </row>
    <row r="182" spans="1:4">
      <c r="A182" s="9" t="s">
        <v>431</v>
      </c>
      <c r="B182" t="s">
        <v>474</v>
      </c>
      <c r="C182" t="s">
        <v>468</v>
      </c>
      <c r="D182" t="s">
        <v>466</v>
      </c>
    </row>
    <row r="183" spans="1:4">
      <c r="A183" s="9" t="s">
        <v>433</v>
      </c>
      <c r="B183" t="s">
        <v>474</v>
      </c>
      <c r="C183" t="s">
        <v>470</v>
      </c>
      <c r="D183" t="s">
        <v>466</v>
      </c>
    </row>
    <row r="184" spans="1:4">
      <c r="A184" s="9" t="s">
        <v>434</v>
      </c>
      <c r="B184" t="s">
        <v>476</v>
      </c>
      <c r="C184" t="s">
        <v>470</v>
      </c>
      <c r="D184" t="s">
        <v>466</v>
      </c>
    </row>
    <row r="185" spans="1:4">
      <c r="A185" s="9" t="s">
        <v>436</v>
      </c>
      <c r="B185" t="s">
        <v>474</v>
      </c>
      <c r="C185" t="s">
        <v>468</v>
      </c>
      <c r="D185" t="s">
        <v>466</v>
      </c>
    </row>
    <row r="186" spans="1:4">
      <c r="A186" s="9" t="s">
        <v>437</v>
      </c>
      <c r="B186" t="s">
        <v>472</v>
      </c>
      <c r="C186" t="s">
        <v>470</v>
      </c>
      <c r="D186" t="s">
        <v>466</v>
      </c>
    </row>
    <row r="187" spans="1:4">
      <c r="A187" s="9" t="s">
        <v>439</v>
      </c>
      <c r="B187" t="s">
        <v>476</v>
      </c>
      <c r="C187" t="s">
        <v>468</v>
      </c>
      <c r="D187" t="s">
        <v>466</v>
      </c>
    </row>
    <row r="188" spans="1:4">
      <c r="A188" s="9" t="s">
        <v>440</v>
      </c>
      <c r="B188" t="s">
        <v>472</v>
      </c>
      <c r="C188" t="s">
        <v>470</v>
      </c>
      <c r="D188" t="s">
        <v>466</v>
      </c>
    </row>
    <row r="189" spans="1:4">
      <c r="A189" s="9" t="s">
        <v>442</v>
      </c>
      <c r="B189" t="s">
        <v>472</v>
      </c>
      <c r="C189" t="s">
        <v>470</v>
      </c>
      <c r="D189" t="s">
        <v>466</v>
      </c>
    </row>
    <row r="190" spans="1:4">
      <c r="A190" s="9" t="s">
        <v>496</v>
      </c>
      <c r="B190" t="s">
        <v>497</v>
      </c>
      <c r="C190" t="s">
        <v>468</v>
      </c>
      <c r="D190" t="s">
        <v>466</v>
      </c>
    </row>
    <row r="191" spans="1:4">
      <c r="A191" s="9" t="s">
        <v>444</v>
      </c>
      <c r="B191" t="s">
        <v>476</v>
      </c>
      <c r="C191" t="s">
        <v>470</v>
      </c>
      <c r="D191" t="s">
        <v>466</v>
      </c>
    </row>
    <row r="192" spans="1:4">
      <c r="A192" s="9" t="s">
        <v>446</v>
      </c>
      <c r="B192" t="s">
        <v>477</v>
      </c>
      <c r="C192" t="s">
        <v>468</v>
      </c>
      <c r="D192" t="s">
        <v>466</v>
      </c>
    </row>
    <row r="193" spans="1:4">
      <c r="A193" s="9" t="s">
        <v>447</v>
      </c>
      <c r="B193" t="s">
        <v>478</v>
      </c>
      <c r="C193" t="s">
        <v>470</v>
      </c>
      <c r="D193" t="s">
        <v>466</v>
      </c>
    </row>
    <row r="194" spans="1:4">
      <c r="A194" s="9" t="s">
        <v>449</v>
      </c>
      <c r="B194" t="s">
        <v>478</v>
      </c>
      <c r="C194" t="s">
        <v>470</v>
      </c>
      <c r="D194" t="s">
        <v>466</v>
      </c>
    </row>
    <row r="195" spans="1:4">
      <c r="A195" s="9" t="s">
        <v>450</v>
      </c>
      <c r="B195" t="s">
        <v>472</v>
      </c>
      <c r="C195" t="s">
        <v>470</v>
      </c>
      <c r="D195" t="s">
        <v>466</v>
      </c>
    </row>
    <row r="196" spans="1:4">
      <c r="A196" s="9" t="s">
        <v>167</v>
      </c>
      <c r="B196" t="s">
        <v>498</v>
      </c>
      <c r="C196" t="s">
        <v>468</v>
      </c>
      <c r="D196" t="s">
        <v>466</v>
      </c>
    </row>
    <row r="197" spans="1:4">
      <c r="A197" s="9" t="s">
        <v>408</v>
      </c>
      <c r="B197" t="s">
        <v>478</v>
      </c>
      <c r="C197" t="s">
        <v>468</v>
      </c>
      <c r="D197" t="s">
        <v>466</v>
      </c>
    </row>
    <row r="198" spans="1:4">
      <c r="A198" s="9" t="s">
        <v>456</v>
      </c>
      <c r="B198" t="s">
        <v>475</v>
      </c>
      <c r="C198" t="s">
        <v>468</v>
      </c>
      <c r="D198" t="s">
        <v>466</v>
      </c>
    </row>
    <row r="199" spans="1:4">
      <c r="A199" s="9" t="s">
        <v>457</v>
      </c>
      <c r="B199" t="s">
        <v>474</v>
      </c>
      <c r="C199" t="s">
        <v>470</v>
      </c>
      <c r="D199" t="s">
        <v>466</v>
      </c>
    </row>
    <row r="200" spans="1:4">
      <c r="A200" s="9" t="s">
        <v>159</v>
      </c>
      <c r="B200" t="s">
        <v>476</v>
      </c>
      <c r="C200" t="s">
        <v>470</v>
      </c>
      <c r="D200" t="s">
        <v>466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DBBD-CEFA-4051-8AFF-B5E861F23266}">
  <dimension ref="A1:P89"/>
  <sheetViews>
    <sheetView topLeftCell="A21" workbookViewId="0">
      <selection activeCell="C6" sqref="C6"/>
    </sheetView>
  </sheetViews>
  <sheetFormatPr defaultRowHeight="15.75"/>
  <cols>
    <col min="1" max="1" width="23.125" bestFit="1" customWidth="1"/>
    <col min="2" max="2" width="27.125" bestFit="1" customWidth="1"/>
    <col min="3" max="3" width="29" bestFit="1" customWidth="1"/>
    <col min="4" max="4" width="11.125" bestFit="1" customWidth="1"/>
    <col min="5" max="5" width="16" bestFit="1" customWidth="1"/>
    <col min="6" max="6" width="12" bestFit="1" customWidth="1"/>
    <col min="7" max="7" width="12.25" bestFit="1" customWidth="1"/>
    <col min="8" max="8" width="11.125" bestFit="1" customWidth="1"/>
    <col min="9" max="9" width="18.875" bestFit="1" customWidth="1"/>
    <col min="10" max="10" width="19.875" bestFit="1" customWidth="1"/>
    <col min="11" max="11" width="12.125" bestFit="1" customWidth="1"/>
    <col min="12" max="12" width="11.25" bestFit="1" customWidth="1"/>
    <col min="13" max="13" width="16.25" bestFit="1" customWidth="1"/>
    <col min="14" max="14" width="12" bestFit="1" customWidth="1"/>
    <col min="15" max="16" width="13.75" bestFit="1" customWidth="1"/>
    <col min="17" max="17" width="16" bestFit="1" customWidth="1"/>
    <col min="18" max="18" width="11.125" bestFit="1" customWidth="1"/>
    <col min="19" max="19" width="12.25" bestFit="1" customWidth="1"/>
    <col min="20" max="20" width="11.125" bestFit="1" customWidth="1"/>
    <col min="21" max="21" width="18.875" bestFit="1" customWidth="1"/>
    <col min="22" max="22" width="19.875" bestFit="1" customWidth="1"/>
    <col min="23" max="23" width="12.125" bestFit="1" customWidth="1"/>
    <col min="24" max="24" width="11.25" bestFit="1" customWidth="1"/>
    <col min="25" max="25" width="16.25" bestFit="1" customWidth="1"/>
    <col min="26" max="26" width="11.125" bestFit="1" customWidth="1"/>
    <col min="27" max="27" width="13.75" bestFit="1" customWidth="1"/>
    <col min="28" max="28" width="29" bestFit="1" customWidth="1"/>
    <col min="29" max="29" width="7.375" bestFit="1" customWidth="1"/>
    <col min="30" max="30" width="16" bestFit="1" customWidth="1"/>
    <col min="31" max="31" width="12" bestFit="1" customWidth="1"/>
    <col min="32" max="32" width="12.25" bestFit="1" customWidth="1"/>
    <col min="33" max="33" width="9.625" bestFit="1" customWidth="1"/>
    <col min="34" max="34" width="18.875" bestFit="1" customWidth="1"/>
    <col min="35" max="35" width="19.875" bestFit="1" customWidth="1"/>
    <col min="36" max="36" width="12.125" bestFit="1" customWidth="1"/>
    <col min="37" max="37" width="11.25" bestFit="1" customWidth="1"/>
    <col min="38" max="38" width="16.25" bestFit="1" customWidth="1"/>
    <col min="39" max="39" width="12" bestFit="1" customWidth="1"/>
    <col min="40" max="40" width="6.875" bestFit="1" customWidth="1"/>
    <col min="41" max="41" width="24.125" bestFit="1" customWidth="1"/>
    <col min="42" max="42" width="32.5" bestFit="1" customWidth="1"/>
    <col min="43" max="43" width="27.625" bestFit="1" customWidth="1"/>
    <col min="44" max="44" width="12.125" bestFit="1" customWidth="1"/>
    <col min="45" max="45" width="16.25" bestFit="1" customWidth="1"/>
    <col min="46" max="46" width="11.125" bestFit="1" customWidth="1"/>
    <col min="47" max="47" width="22.875" bestFit="1" customWidth="1"/>
    <col min="48" max="48" width="18.875" bestFit="1" customWidth="1"/>
    <col min="49" max="49" width="12.125" bestFit="1" customWidth="1"/>
    <col min="50" max="50" width="16.25" bestFit="1" customWidth="1"/>
    <col min="51" max="51" width="10.875" bestFit="1" customWidth="1"/>
    <col min="52" max="52" width="26.75" bestFit="1" customWidth="1"/>
    <col min="53" max="53" width="35.125" bestFit="1" customWidth="1"/>
    <col min="54" max="54" width="30.25" bestFit="1" customWidth="1"/>
    <col min="55" max="55" width="19.25" bestFit="1" customWidth="1"/>
    <col min="56" max="56" width="27.625" bestFit="1" customWidth="1"/>
    <col min="57" max="57" width="22.875" bestFit="1" customWidth="1"/>
    <col min="58" max="58" width="34.5" bestFit="1" customWidth="1"/>
    <col min="59" max="59" width="42.875" bestFit="1" customWidth="1"/>
    <col min="60" max="60" width="38.125" bestFit="1" customWidth="1"/>
    <col min="61" max="61" width="19.25" bestFit="1" customWidth="1"/>
    <col min="62" max="62" width="27.625" bestFit="1" customWidth="1"/>
    <col min="63" max="63" width="22.875" bestFit="1" customWidth="1"/>
    <col min="64" max="64" width="33.5" bestFit="1" customWidth="1"/>
    <col min="65" max="65" width="41.75" bestFit="1" customWidth="1"/>
    <col min="66" max="66" width="37" bestFit="1" customWidth="1"/>
    <col min="67" max="67" width="19.25" bestFit="1" customWidth="1"/>
    <col min="68" max="68" width="27.625" bestFit="1" customWidth="1"/>
    <col min="69" max="69" width="22.875" bestFit="1" customWidth="1"/>
    <col min="70" max="70" width="28.5" bestFit="1" customWidth="1"/>
    <col min="71" max="71" width="36.875" bestFit="1" customWidth="1"/>
    <col min="72" max="72" width="32" bestFit="1" customWidth="1"/>
    <col min="73" max="73" width="19.25" bestFit="1" customWidth="1"/>
    <col min="74" max="74" width="27.625" bestFit="1" customWidth="1"/>
    <col min="75" max="75" width="22.875" bestFit="1" customWidth="1"/>
    <col min="76" max="76" width="35.75" bestFit="1" customWidth="1"/>
    <col min="77" max="77" width="44.125" bestFit="1" customWidth="1"/>
    <col min="78" max="78" width="39.375" bestFit="1" customWidth="1"/>
    <col min="79" max="79" width="23.75" bestFit="1" customWidth="1"/>
    <col min="80" max="80" width="27.625" bestFit="1" customWidth="1"/>
    <col min="81" max="81" width="22.875" bestFit="1" customWidth="1"/>
    <col min="82" max="82" width="41.125" bestFit="1" customWidth="1"/>
    <col min="83" max="83" width="49.5" bestFit="1" customWidth="1"/>
    <col min="84" max="84" width="44.625" bestFit="1" customWidth="1"/>
    <col min="85" max="85" width="23.25" bestFit="1" customWidth="1"/>
    <col min="86" max="86" width="27.625" bestFit="1" customWidth="1"/>
    <col min="87" max="87" width="22.875" bestFit="1" customWidth="1"/>
    <col min="88" max="88" width="40.625" bestFit="1" customWidth="1"/>
    <col min="89" max="89" width="49" bestFit="1" customWidth="1"/>
    <col min="90" max="90" width="44.125" bestFit="1" customWidth="1"/>
    <col min="91" max="91" width="19.25" bestFit="1" customWidth="1"/>
    <col min="92" max="92" width="27.625" bestFit="1" customWidth="1"/>
    <col min="93" max="93" width="22.875" bestFit="1" customWidth="1"/>
    <col min="94" max="94" width="27.625" bestFit="1" customWidth="1"/>
    <col min="95" max="95" width="36" bestFit="1" customWidth="1"/>
    <col min="96" max="96" width="31.125" bestFit="1" customWidth="1"/>
    <col min="97" max="97" width="19.25" bestFit="1" customWidth="1"/>
    <col min="98" max="98" width="27.625" bestFit="1" customWidth="1"/>
    <col min="99" max="99" width="22.875" bestFit="1" customWidth="1"/>
    <col min="100" max="100" width="29.375" bestFit="1" customWidth="1"/>
    <col min="101" max="101" width="37.875" bestFit="1" customWidth="1"/>
    <col min="102" max="102" width="33" bestFit="1" customWidth="1"/>
    <col min="103" max="103" width="19.875" bestFit="1" customWidth="1"/>
    <col min="104" max="104" width="27.625" bestFit="1" customWidth="1"/>
    <col min="105" max="105" width="22.875" bestFit="1" customWidth="1"/>
    <col min="106" max="106" width="27.5" bestFit="1" customWidth="1"/>
    <col min="107" max="107" width="35.875" bestFit="1" customWidth="1"/>
    <col min="108" max="108" width="31" bestFit="1" customWidth="1"/>
    <col min="109" max="109" width="19.5" bestFit="1" customWidth="1"/>
    <col min="110" max="110" width="27.625" bestFit="1" customWidth="1"/>
    <col min="111" max="111" width="22.875" bestFit="1" customWidth="1"/>
    <col min="112" max="112" width="36.875" bestFit="1" customWidth="1"/>
    <col min="113" max="113" width="45.25" bestFit="1" customWidth="1"/>
    <col min="114" max="114" width="40.375" bestFit="1" customWidth="1"/>
    <col min="115" max="115" width="19.375" bestFit="1" customWidth="1"/>
    <col min="116" max="116" width="27.625" bestFit="1" customWidth="1"/>
    <col min="117" max="117" width="22.875" bestFit="1" customWidth="1"/>
    <col min="118" max="118" width="36.75" bestFit="1" customWidth="1"/>
    <col min="119" max="119" width="45.125" bestFit="1" customWidth="1"/>
    <col min="120" max="120" width="40.25" bestFit="1" customWidth="1"/>
    <col min="121" max="121" width="25.5" bestFit="1" customWidth="1"/>
    <col min="122" max="122" width="27.625" bestFit="1" customWidth="1"/>
    <col min="123" max="123" width="22.875" bestFit="1" customWidth="1"/>
    <col min="124" max="124" width="42.875" bestFit="1" customWidth="1"/>
    <col min="125" max="125" width="51.25" bestFit="1" customWidth="1"/>
    <col min="126" max="126" width="46.375" bestFit="1" customWidth="1"/>
    <col min="127" max="127" width="19.25" bestFit="1" customWidth="1"/>
    <col min="128" max="128" width="18.875" bestFit="1" customWidth="1"/>
    <col min="129" max="129" width="12.125" bestFit="1" customWidth="1"/>
    <col min="130" max="130" width="16.25" bestFit="1" customWidth="1"/>
    <col min="131" max="131" width="10.875" bestFit="1" customWidth="1"/>
    <col min="132" max="132" width="27.625" bestFit="1" customWidth="1"/>
    <col min="133" max="133" width="18.875" bestFit="1" customWidth="1"/>
    <col min="134" max="134" width="12.125" bestFit="1" customWidth="1"/>
    <col min="135" max="135" width="16.25" bestFit="1" customWidth="1"/>
    <col min="136" max="136" width="11.125" bestFit="1" customWidth="1"/>
    <col min="137" max="137" width="22.875" bestFit="1" customWidth="1"/>
    <col min="138" max="138" width="18.875" bestFit="1" customWidth="1"/>
    <col min="139" max="139" width="12.125" bestFit="1" customWidth="1"/>
    <col min="140" max="140" width="16.25" bestFit="1" customWidth="1"/>
    <col min="141" max="141" width="10.875" bestFit="1" customWidth="1"/>
    <col min="142" max="142" width="30.5" bestFit="1" customWidth="1"/>
    <col min="143" max="143" width="38.875" bestFit="1" customWidth="1"/>
    <col min="144" max="144" width="34" bestFit="1" customWidth="1"/>
    <col min="145" max="145" width="19.25" bestFit="1" customWidth="1"/>
    <col min="146" max="146" width="18.875" bestFit="1" customWidth="1"/>
    <col min="147" max="147" width="12.125" bestFit="1" customWidth="1"/>
    <col min="148" max="148" width="11.25" bestFit="1" customWidth="1"/>
    <col min="149" max="149" width="16.25" bestFit="1" customWidth="1"/>
    <col min="150" max="150" width="10.875" bestFit="1" customWidth="1"/>
    <col min="151" max="151" width="27.625" bestFit="1" customWidth="1"/>
    <col min="152" max="152" width="18.875" bestFit="1" customWidth="1"/>
    <col min="153" max="153" width="12.125" bestFit="1" customWidth="1"/>
    <col min="154" max="154" width="11.25" bestFit="1" customWidth="1"/>
    <col min="155" max="155" width="16.25" bestFit="1" customWidth="1"/>
    <col min="156" max="156" width="10.875" bestFit="1" customWidth="1"/>
    <col min="157" max="157" width="22.875" bestFit="1" customWidth="1"/>
    <col min="158" max="158" width="18.875" bestFit="1" customWidth="1"/>
    <col min="159" max="159" width="12.125" bestFit="1" customWidth="1"/>
    <col min="160" max="160" width="11.25" bestFit="1" customWidth="1"/>
    <col min="161" max="161" width="16.25" bestFit="1" customWidth="1"/>
    <col min="162" max="162" width="12" bestFit="1" customWidth="1"/>
    <col min="163" max="163" width="32.375" bestFit="1" customWidth="1"/>
    <col min="164" max="164" width="40.75" bestFit="1" customWidth="1"/>
    <col min="165" max="165" width="35.875" bestFit="1" customWidth="1"/>
    <col min="166" max="166" width="19.25" bestFit="1" customWidth="1"/>
    <col min="167" max="167" width="18.875" bestFit="1" customWidth="1"/>
    <col min="168" max="168" width="12.125" bestFit="1" customWidth="1"/>
    <col min="169" max="169" width="11.25" bestFit="1" customWidth="1"/>
    <col min="170" max="170" width="16.25" bestFit="1" customWidth="1"/>
    <col min="171" max="171" width="10.875" bestFit="1" customWidth="1"/>
    <col min="172" max="172" width="27.625" bestFit="1" customWidth="1"/>
    <col min="173" max="173" width="18.875" bestFit="1" customWidth="1"/>
    <col min="174" max="174" width="12.125" bestFit="1" customWidth="1"/>
    <col min="175" max="175" width="11.25" bestFit="1" customWidth="1"/>
    <col min="176" max="176" width="16.25" bestFit="1" customWidth="1"/>
    <col min="177" max="177" width="10.875" bestFit="1" customWidth="1"/>
    <col min="178" max="178" width="22.875" bestFit="1" customWidth="1"/>
    <col min="179" max="179" width="18.875" bestFit="1" customWidth="1"/>
    <col min="180" max="180" width="12.125" bestFit="1" customWidth="1"/>
    <col min="181" max="181" width="11.25" bestFit="1" customWidth="1"/>
    <col min="182" max="182" width="16.25" bestFit="1" customWidth="1"/>
    <col min="183" max="183" width="12" bestFit="1" customWidth="1"/>
    <col min="184" max="184" width="33.875" bestFit="1" customWidth="1"/>
    <col min="185" max="185" width="42.25" bestFit="1" customWidth="1"/>
    <col min="186" max="186" width="37.25" bestFit="1" customWidth="1"/>
    <col min="187" max="187" width="19.25" bestFit="1" customWidth="1"/>
    <col min="188" max="188" width="18.875" bestFit="1" customWidth="1"/>
    <col min="189" max="189" width="12.125" bestFit="1" customWidth="1"/>
    <col min="190" max="190" width="16.25" bestFit="1" customWidth="1"/>
    <col min="191" max="191" width="10.875" bestFit="1" customWidth="1"/>
    <col min="192" max="192" width="27.625" bestFit="1" customWidth="1"/>
    <col min="193" max="193" width="18.875" bestFit="1" customWidth="1"/>
    <col min="194" max="194" width="12.125" bestFit="1" customWidth="1"/>
    <col min="195" max="195" width="16.25" bestFit="1" customWidth="1"/>
    <col min="196" max="196" width="10.875" bestFit="1" customWidth="1"/>
    <col min="197" max="197" width="22.875" bestFit="1" customWidth="1"/>
    <col min="198" max="198" width="18.875" bestFit="1" customWidth="1"/>
    <col min="199" max="199" width="12.125" bestFit="1" customWidth="1"/>
    <col min="200" max="200" width="16.25" bestFit="1" customWidth="1"/>
    <col min="201" max="201" width="10.875" bestFit="1" customWidth="1"/>
    <col min="202" max="202" width="31.125" bestFit="1" customWidth="1"/>
    <col min="203" max="203" width="39.5" bestFit="1" customWidth="1"/>
    <col min="204" max="204" width="34.625" bestFit="1" customWidth="1"/>
    <col min="205" max="207" width="29" bestFit="1" customWidth="1"/>
    <col min="208" max="208" width="33.5" bestFit="1" customWidth="1"/>
    <col min="209" max="209" width="42" bestFit="1" customWidth="1"/>
    <col min="210" max="210" width="37" bestFit="1" customWidth="1"/>
    <col min="211" max="213" width="29" bestFit="1" customWidth="1"/>
    <col min="214" max="214" width="31.625" bestFit="1" customWidth="1"/>
    <col min="215" max="215" width="40" bestFit="1" customWidth="1"/>
    <col min="216" max="216" width="35.125" bestFit="1" customWidth="1"/>
    <col min="217" max="219" width="29" bestFit="1" customWidth="1"/>
    <col min="220" max="220" width="30.375" bestFit="1" customWidth="1"/>
    <col min="221" max="221" width="38.75" bestFit="1" customWidth="1"/>
    <col min="222" max="222" width="34" bestFit="1" customWidth="1"/>
    <col min="223" max="225" width="29" bestFit="1" customWidth="1"/>
    <col min="226" max="226" width="32.25" bestFit="1" customWidth="1"/>
    <col min="227" max="227" width="40.625" bestFit="1" customWidth="1"/>
    <col min="228" max="228" width="35.75" bestFit="1" customWidth="1"/>
    <col min="229" max="229" width="19.25" bestFit="1" customWidth="1"/>
    <col min="230" max="230" width="9.75" bestFit="1" customWidth="1"/>
    <col min="231" max="231" width="19.875" bestFit="1" customWidth="1"/>
    <col min="232" max="232" width="27.625" bestFit="1" customWidth="1"/>
    <col min="233" max="233" width="10.125" bestFit="1" customWidth="1"/>
    <col min="234" max="234" width="19.875" bestFit="1" customWidth="1"/>
    <col min="235" max="235" width="22.875" bestFit="1" customWidth="1"/>
    <col min="236" max="236" width="9.75" bestFit="1" customWidth="1"/>
    <col min="237" max="237" width="19.875" bestFit="1" customWidth="1"/>
    <col min="238" max="238" width="33.375" bestFit="1" customWidth="1"/>
    <col min="239" max="239" width="41.75" bestFit="1" customWidth="1"/>
    <col min="240" max="240" width="37" bestFit="1" customWidth="1"/>
    <col min="241" max="241" width="19.875" bestFit="1" customWidth="1"/>
    <col min="242" max="242" width="27.625" bestFit="1" customWidth="1"/>
    <col min="243" max="243" width="22.875" bestFit="1" customWidth="1"/>
    <col min="244" max="244" width="30.75" bestFit="1" customWidth="1"/>
    <col min="245" max="245" width="39.125" bestFit="1" customWidth="1"/>
    <col min="246" max="246" width="34.375" bestFit="1" customWidth="1"/>
    <col min="247" max="247" width="19.25" bestFit="1" customWidth="1"/>
    <col min="248" max="248" width="27.625" bestFit="1" customWidth="1"/>
    <col min="249" max="249" width="22.875" bestFit="1" customWidth="1"/>
    <col min="250" max="250" width="24.25" bestFit="1" customWidth="1"/>
    <col min="251" max="251" width="32.625" bestFit="1" customWidth="1"/>
    <col min="252" max="252" width="27.75" bestFit="1" customWidth="1"/>
    <col min="253" max="253" width="19.25" bestFit="1" customWidth="1"/>
    <col min="254" max="254" width="27.625" bestFit="1" customWidth="1"/>
    <col min="255" max="255" width="22.875" bestFit="1" customWidth="1"/>
    <col min="256" max="256" width="25.875" bestFit="1" customWidth="1"/>
    <col min="257" max="257" width="34.125" bestFit="1" customWidth="1"/>
    <col min="258" max="258" width="29.25" bestFit="1" customWidth="1"/>
    <col min="259" max="259" width="24.125" bestFit="1" customWidth="1"/>
    <col min="260" max="260" width="32.5" bestFit="1" customWidth="1"/>
    <col min="261" max="261" width="27.625" bestFit="1" customWidth="1"/>
  </cols>
  <sheetData>
    <row r="1" spans="1:16">
      <c r="C1" s="15" t="s">
        <v>42</v>
      </c>
    </row>
    <row r="2" spans="1:16">
      <c r="A2" s="15" t="s">
        <v>53</v>
      </c>
      <c r="B2" s="15" t="s">
        <v>499</v>
      </c>
      <c r="C2" t="s">
        <v>328</v>
      </c>
      <c r="D2" t="s">
        <v>154</v>
      </c>
      <c r="E2" t="s">
        <v>170</v>
      </c>
      <c r="F2" t="s">
        <v>63</v>
      </c>
      <c r="G2" t="s">
        <v>89</v>
      </c>
      <c r="H2" t="s">
        <v>137</v>
      </c>
      <c r="I2" t="s">
        <v>284</v>
      </c>
      <c r="J2" t="s">
        <v>150</v>
      </c>
      <c r="K2" t="s">
        <v>57</v>
      </c>
      <c r="L2" t="s">
        <v>102</v>
      </c>
      <c r="M2" t="s">
        <v>129</v>
      </c>
      <c r="N2" t="s">
        <v>69</v>
      </c>
      <c r="O2" t="s">
        <v>500</v>
      </c>
      <c r="P2" t="s">
        <v>501</v>
      </c>
    </row>
    <row r="3" spans="1:16">
      <c r="A3" s="17" t="s">
        <v>472</v>
      </c>
      <c r="B3" s="17" t="s">
        <v>502</v>
      </c>
      <c r="C3" s="18"/>
      <c r="D3" s="18"/>
      <c r="E3" s="18"/>
      <c r="F3" s="18"/>
      <c r="G3" s="18">
        <v>6</v>
      </c>
      <c r="H3" s="18"/>
      <c r="I3" s="18">
        <v>5</v>
      </c>
      <c r="J3" s="18"/>
      <c r="K3" s="18">
        <v>10</v>
      </c>
      <c r="L3" s="18"/>
      <c r="M3" s="18">
        <v>1</v>
      </c>
      <c r="N3" s="18">
        <v>7</v>
      </c>
      <c r="O3" s="18"/>
      <c r="P3" s="18">
        <v>29</v>
      </c>
    </row>
    <row r="4" spans="1:16">
      <c r="A4" s="19"/>
      <c r="B4" s="19" t="s">
        <v>503</v>
      </c>
      <c r="C4" s="20"/>
      <c r="D4" s="20"/>
      <c r="E4" s="20"/>
      <c r="F4" s="20"/>
      <c r="G4" s="20">
        <v>28843</v>
      </c>
      <c r="H4" s="20"/>
      <c r="I4" s="20">
        <v>41178</v>
      </c>
      <c r="J4" s="20"/>
      <c r="K4" s="20">
        <v>26455.32</v>
      </c>
      <c r="L4" s="20"/>
      <c r="M4" s="20">
        <v>20193</v>
      </c>
      <c r="N4" s="20">
        <v>25006.938571428571</v>
      </c>
      <c r="O4" s="20"/>
      <c r="P4" s="20">
        <v>28922.164482758621</v>
      </c>
    </row>
    <row r="5" spans="1:16">
      <c r="A5" s="17"/>
      <c r="B5" s="17" t="s">
        <v>504</v>
      </c>
      <c r="C5" s="18"/>
      <c r="D5" s="18"/>
      <c r="E5" s="18"/>
      <c r="F5" s="18"/>
      <c r="G5" s="18">
        <v>29.666666666666668</v>
      </c>
      <c r="H5" s="18"/>
      <c r="I5" s="18">
        <v>44</v>
      </c>
      <c r="J5" s="18"/>
      <c r="K5" s="18">
        <v>21.3</v>
      </c>
      <c r="L5" s="18"/>
      <c r="M5" s="18">
        <v>29</v>
      </c>
      <c r="N5" s="18">
        <v>23.428571428571427</v>
      </c>
      <c r="O5" s="18"/>
      <c r="P5" s="18">
        <v>27.724137931034484</v>
      </c>
    </row>
    <row r="6" spans="1:16">
      <c r="A6" t="s">
        <v>469</v>
      </c>
      <c r="B6" t="s">
        <v>502</v>
      </c>
      <c r="C6" s="16"/>
      <c r="D6" s="16">
        <v>1</v>
      </c>
      <c r="E6" s="16"/>
      <c r="F6" s="16">
        <v>4</v>
      </c>
      <c r="G6" s="16"/>
      <c r="H6" s="16"/>
      <c r="I6" s="16"/>
      <c r="J6" s="16">
        <v>2</v>
      </c>
      <c r="K6" s="16"/>
      <c r="L6" s="16"/>
      <c r="M6" s="16"/>
      <c r="N6" s="16"/>
      <c r="O6" s="16"/>
      <c r="P6" s="16">
        <v>7</v>
      </c>
    </row>
    <row r="7" spans="1:16">
      <c r="B7" t="s">
        <v>503</v>
      </c>
      <c r="C7" s="1"/>
      <c r="D7" s="1">
        <v>39780</v>
      </c>
      <c r="E7" s="1"/>
      <c r="F7" s="1">
        <v>44857</v>
      </c>
      <c r="G7" s="1"/>
      <c r="H7" s="1"/>
      <c r="I7" s="1"/>
      <c r="J7" s="1">
        <v>46249</v>
      </c>
      <c r="K7" s="1"/>
      <c r="L7" s="1"/>
      <c r="M7" s="1"/>
      <c r="N7" s="1"/>
      <c r="O7" s="1"/>
      <c r="P7" s="1">
        <v>44529.428571428572</v>
      </c>
    </row>
    <row r="8" spans="1:16">
      <c r="B8" t="s">
        <v>504</v>
      </c>
      <c r="C8" s="16"/>
      <c r="D8" s="16">
        <v>25</v>
      </c>
      <c r="E8" s="16"/>
      <c r="F8" s="16">
        <v>20.25</v>
      </c>
      <c r="G8" s="16"/>
      <c r="H8" s="16"/>
      <c r="I8" s="16"/>
      <c r="J8" s="16">
        <v>31</v>
      </c>
      <c r="K8" s="16"/>
      <c r="L8" s="16"/>
      <c r="M8" s="16"/>
      <c r="N8" s="16"/>
      <c r="O8" s="16"/>
      <c r="P8" s="16">
        <v>24</v>
      </c>
    </row>
    <row r="9" spans="1:16">
      <c r="A9" s="17" t="s">
        <v>495</v>
      </c>
      <c r="B9" s="17" t="s">
        <v>502</v>
      </c>
      <c r="C9" s="18"/>
      <c r="D9" s="18"/>
      <c r="E9" s="18"/>
      <c r="F9" s="18"/>
      <c r="G9" s="18"/>
      <c r="H9" s="18"/>
      <c r="I9" s="18">
        <v>1</v>
      </c>
      <c r="J9" s="18"/>
      <c r="K9" s="18"/>
      <c r="L9" s="18"/>
      <c r="M9" s="18"/>
      <c r="N9" s="18"/>
      <c r="O9" s="18"/>
      <c r="P9" s="18">
        <v>1</v>
      </c>
    </row>
    <row r="10" spans="1:16">
      <c r="A10" s="19"/>
      <c r="B10" s="19" t="s">
        <v>503</v>
      </c>
      <c r="C10" s="20"/>
      <c r="D10" s="20"/>
      <c r="E10" s="20"/>
      <c r="F10" s="20"/>
      <c r="G10" s="20"/>
      <c r="H10" s="20"/>
      <c r="I10" s="20">
        <v>241749</v>
      </c>
      <c r="J10" s="20"/>
      <c r="K10" s="20"/>
      <c r="L10" s="20"/>
      <c r="M10" s="20"/>
      <c r="N10" s="20"/>
      <c r="O10" s="20"/>
      <c r="P10" s="20">
        <v>241749</v>
      </c>
    </row>
    <row r="11" spans="1:16">
      <c r="A11" s="17"/>
      <c r="B11" s="17" t="s">
        <v>504</v>
      </c>
      <c r="C11" s="18"/>
      <c r="D11" s="18"/>
      <c r="E11" s="18"/>
      <c r="F11" s="18"/>
      <c r="G11" s="18"/>
      <c r="H11" s="18"/>
      <c r="I11" s="18">
        <v>15</v>
      </c>
      <c r="J11" s="18"/>
      <c r="K11" s="18"/>
      <c r="L11" s="18"/>
      <c r="M11" s="18"/>
      <c r="N11" s="18"/>
      <c r="O11" s="18"/>
      <c r="P11" s="18">
        <v>15</v>
      </c>
    </row>
    <row r="12" spans="1:16">
      <c r="A12" t="s">
        <v>476</v>
      </c>
      <c r="B12" t="s">
        <v>502</v>
      </c>
      <c r="C12" s="16"/>
      <c r="D12" s="16"/>
      <c r="E12" s="16"/>
      <c r="F12" s="16"/>
      <c r="G12" s="16">
        <v>3</v>
      </c>
      <c r="H12" s="16"/>
      <c r="I12" s="16">
        <v>3</v>
      </c>
      <c r="J12" s="16"/>
      <c r="K12" s="16">
        <v>4</v>
      </c>
      <c r="L12" s="16"/>
      <c r="M12" s="16">
        <v>2</v>
      </c>
      <c r="N12" s="16">
        <v>2</v>
      </c>
      <c r="O12" s="16"/>
      <c r="P12" s="16">
        <v>14</v>
      </c>
    </row>
    <row r="13" spans="1:16">
      <c r="B13" t="s">
        <v>503</v>
      </c>
      <c r="C13" s="1"/>
      <c r="D13" s="1"/>
      <c r="E13" s="1"/>
      <c r="F13" s="1"/>
      <c r="G13" s="1">
        <v>243933.33333333334</v>
      </c>
      <c r="H13" s="1"/>
      <c r="I13" s="1">
        <v>267407.4266666667</v>
      </c>
      <c r="J13" s="1"/>
      <c r="K13" s="1">
        <v>177479</v>
      </c>
      <c r="L13" s="1"/>
      <c r="M13" s="1">
        <v>460582</v>
      </c>
      <c r="N13" s="1">
        <v>171060.5</v>
      </c>
      <c r="O13" s="1"/>
      <c r="P13" s="1">
        <v>250515.9485714286</v>
      </c>
    </row>
    <row r="14" spans="1:16">
      <c r="B14" t="s">
        <v>504</v>
      </c>
      <c r="C14" s="16"/>
      <c r="D14" s="16"/>
      <c r="E14" s="16"/>
      <c r="F14" s="16"/>
      <c r="G14" s="16">
        <v>44.666666666666664</v>
      </c>
      <c r="H14" s="16"/>
      <c r="I14" s="16">
        <v>24.666666666666668</v>
      </c>
      <c r="J14" s="16"/>
      <c r="K14" s="16">
        <v>59.75</v>
      </c>
      <c r="L14" s="16"/>
      <c r="M14" s="16">
        <v>20</v>
      </c>
      <c r="N14" s="16">
        <v>33.5</v>
      </c>
      <c r="O14" s="16"/>
      <c r="P14" s="16">
        <v>39.571428571428569</v>
      </c>
    </row>
    <row r="15" spans="1:16">
      <c r="A15" s="17" t="s">
        <v>481</v>
      </c>
      <c r="B15" s="17" t="s">
        <v>502</v>
      </c>
      <c r="C15" s="18"/>
      <c r="D15" s="18">
        <v>1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>
        <v>1</v>
      </c>
    </row>
    <row r="16" spans="1:16">
      <c r="A16" s="19"/>
      <c r="B16" s="19" t="s">
        <v>503</v>
      </c>
      <c r="C16" s="20"/>
      <c r="D16" s="20">
        <v>100272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>
        <v>100272</v>
      </c>
    </row>
    <row r="17" spans="1:16">
      <c r="A17" s="17"/>
      <c r="B17" s="17" t="s">
        <v>504</v>
      </c>
      <c r="C17" s="18"/>
      <c r="D17" s="18">
        <v>27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>
        <v>27</v>
      </c>
    </row>
    <row r="18" spans="1:16">
      <c r="A18" t="s">
        <v>498</v>
      </c>
      <c r="B18" t="s">
        <v>502</v>
      </c>
      <c r="C18" s="16"/>
      <c r="D18" s="16">
        <v>1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>
        <v>1</v>
      </c>
    </row>
    <row r="19" spans="1:16">
      <c r="B19" t="s">
        <v>503</v>
      </c>
      <c r="C19" s="1"/>
      <c r="D19" s="1">
        <v>173317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>
        <v>173317</v>
      </c>
    </row>
    <row r="20" spans="1:16">
      <c r="B20" t="s">
        <v>504</v>
      </c>
      <c r="C20" s="16"/>
      <c r="D20" s="16">
        <v>31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>
        <v>31</v>
      </c>
    </row>
    <row r="21" spans="1:16">
      <c r="A21" s="17" t="s">
        <v>471</v>
      </c>
      <c r="B21" s="17" t="s">
        <v>502</v>
      </c>
      <c r="C21" s="18"/>
      <c r="D21" s="18"/>
      <c r="E21" s="18"/>
      <c r="F21" s="18">
        <v>1</v>
      </c>
      <c r="G21" s="18"/>
      <c r="H21" s="18"/>
      <c r="I21" s="18"/>
      <c r="J21" s="18"/>
      <c r="K21" s="18"/>
      <c r="L21" s="18"/>
      <c r="M21" s="18"/>
      <c r="N21" s="18"/>
      <c r="O21" s="18"/>
      <c r="P21" s="18">
        <v>1</v>
      </c>
    </row>
    <row r="22" spans="1:16">
      <c r="A22" s="19"/>
      <c r="B22" s="19" t="s">
        <v>503</v>
      </c>
      <c r="C22" s="20"/>
      <c r="D22" s="20"/>
      <c r="E22" s="20"/>
      <c r="F22" s="20">
        <v>168449</v>
      </c>
      <c r="G22" s="20"/>
      <c r="H22" s="20"/>
      <c r="I22" s="20"/>
      <c r="J22" s="20"/>
      <c r="K22" s="20"/>
      <c r="L22" s="20"/>
      <c r="M22" s="20"/>
      <c r="N22" s="20"/>
      <c r="O22" s="20"/>
      <c r="P22" s="20">
        <v>168449</v>
      </c>
    </row>
    <row r="23" spans="1:16">
      <c r="A23" s="17"/>
      <c r="B23" s="17" t="s">
        <v>504</v>
      </c>
      <c r="C23" s="18"/>
      <c r="D23" s="18"/>
      <c r="E23" s="18"/>
      <c r="F23" s="18">
        <v>30</v>
      </c>
      <c r="G23" s="18"/>
      <c r="H23" s="18"/>
      <c r="I23" s="18"/>
      <c r="J23" s="18"/>
      <c r="K23" s="18"/>
      <c r="L23" s="18"/>
      <c r="M23" s="18"/>
      <c r="N23" s="18"/>
      <c r="O23" s="18"/>
      <c r="P23" s="18">
        <v>30</v>
      </c>
    </row>
    <row r="24" spans="1:16">
      <c r="A24" t="s">
        <v>480</v>
      </c>
      <c r="B24" t="s">
        <v>502</v>
      </c>
      <c r="C24" s="16"/>
      <c r="D24" s="16"/>
      <c r="E24" s="16"/>
      <c r="F24" s="16"/>
      <c r="G24" s="16"/>
      <c r="H24" s="16">
        <v>1</v>
      </c>
      <c r="I24" s="16"/>
      <c r="J24" s="16"/>
      <c r="K24" s="16"/>
      <c r="L24" s="16"/>
      <c r="M24" s="16"/>
      <c r="N24" s="16"/>
      <c r="O24" s="16"/>
      <c r="P24" s="16">
        <v>1</v>
      </c>
    </row>
    <row r="25" spans="1:16">
      <c r="B25" t="s">
        <v>503</v>
      </c>
      <c r="C25" s="1"/>
      <c r="D25" s="1"/>
      <c r="E25" s="1"/>
      <c r="F25" s="1"/>
      <c r="G25" s="1"/>
      <c r="H25" s="1">
        <v>137842</v>
      </c>
      <c r="I25" s="1"/>
      <c r="J25" s="1"/>
      <c r="K25" s="1"/>
      <c r="L25" s="1"/>
      <c r="M25" s="1"/>
      <c r="N25" s="1"/>
      <c r="O25" s="1"/>
      <c r="P25" s="1">
        <v>137842</v>
      </c>
    </row>
    <row r="26" spans="1:16">
      <c r="B26" t="s">
        <v>504</v>
      </c>
      <c r="C26" s="16"/>
      <c r="D26" s="16"/>
      <c r="E26" s="16"/>
      <c r="F26" s="16"/>
      <c r="G26" s="16"/>
      <c r="H26" s="16">
        <v>68</v>
      </c>
      <c r="I26" s="16"/>
      <c r="J26" s="16"/>
      <c r="K26" s="16"/>
      <c r="L26" s="16"/>
      <c r="M26" s="16"/>
      <c r="N26" s="16"/>
      <c r="O26" s="16"/>
      <c r="P26" s="16">
        <v>68</v>
      </c>
    </row>
    <row r="27" spans="1:16">
      <c r="A27" s="17" t="s">
        <v>483</v>
      </c>
      <c r="B27" s="17" t="s">
        <v>502</v>
      </c>
      <c r="C27" s="18"/>
      <c r="D27" s="18"/>
      <c r="E27" s="18"/>
      <c r="F27" s="18"/>
      <c r="G27" s="18"/>
      <c r="H27" s="18"/>
      <c r="I27" s="18"/>
      <c r="J27" s="18">
        <v>1</v>
      </c>
      <c r="K27" s="18"/>
      <c r="L27" s="18"/>
      <c r="M27" s="18"/>
      <c r="N27" s="18"/>
      <c r="O27" s="18"/>
      <c r="P27" s="18">
        <v>1</v>
      </c>
    </row>
    <row r="28" spans="1:16">
      <c r="A28" s="19"/>
      <c r="B28" s="19" t="s">
        <v>503</v>
      </c>
      <c r="C28" s="20"/>
      <c r="D28" s="20"/>
      <c r="E28" s="20"/>
      <c r="F28" s="20"/>
      <c r="G28" s="20"/>
      <c r="H28" s="20"/>
      <c r="I28" s="20"/>
      <c r="J28" s="20">
        <v>175052</v>
      </c>
      <c r="K28" s="20"/>
      <c r="L28" s="20"/>
      <c r="M28" s="20"/>
      <c r="N28" s="20"/>
      <c r="O28" s="20"/>
      <c r="P28" s="20">
        <v>175052</v>
      </c>
    </row>
    <row r="29" spans="1:16">
      <c r="A29" s="17"/>
      <c r="B29" s="17" t="s">
        <v>504</v>
      </c>
      <c r="C29" s="18"/>
      <c r="D29" s="18"/>
      <c r="E29" s="18"/>
      <c r="F29" s="18"/>
      <c r="G29" s="18"/>
      <c r="H29" s="18"/>
      <c r="I29" s="18"/>
      <c r="J29" s="18">
        <v>43</v>
      </c>
      <c r="K29" s="18"/>
      <c r="L29" s="18"/>
      <c r="M29" s="18"/>
      <c r="N29" s="18"/>
      <c r="O29" s="18"/>
      <c r="P29" s="18">
        <v>43</v>
      </c>
    </row>
    <row r="30" spans="1:16">
      <c r="A30" t="s">
        <v>487</v>
      </c>
      <c r="B30" t="s">
        <v>502</v>
      </c>
      <c r="C30" s="16"/>
      <c r="D30" s="16"/>
      <c r="E30" s="16">
        <v>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>
        <v>1</v>
      </c>
    </row>
    <row r="31" spans="1:16">
      <c r="B31" t="s">
        <v>503</v>
      </c>
      <c r="C31" s="1"/>
      <c r="D31" s="1"/>
      <c r="E31" s="1">
        <v>80350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>
        <v>80350</v>
      </c>
    </row>
    <row r="32" spans="1:16">
      <c r="B32" t="s">
        <v>504</v>
      </c>
      <c r="C32" s="16"/>
      <c r="D32" s="16"/>
      <c r="E32" s="16">
        <v>22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>
        <v>22</v>
      </c>
    </row>
    <row r="33" spans="1:16">
      <c r="A33" s="17" t="s">
        <v>473</v>
      </c>
      <c r="B33" s="17" t="s">
        <v>502</v>
      </c>
      <c r="C33" s="18"/>
      <c r="D33" s="18"/>
      <c r="E33" s="18"/>
      <c r="F33" s="18">
        <v>3</v>
      </c>
      <c r="G33" s="18"/>
      <c r="H33" s="18"/>
      <c r="I33" s="18"/>
      <c r="J33" s="18"/>
      <c r="K33" s="18"/>
      <c r="L33" s="18"/>
      <c r="M33" s="18"/>
      <c r="N33" s="18"/>
      <c r="O33" s="18"/>
      <c r="P33" s="18">
        <v>3</v>
      </c>
    </row>
    <row r="34" spans="1:16">
      <c r="A34" s="19"/>
      <c r="B34" s="19" t="s">
        <v>503</v>
      </c>
      <c r="C34" s="20"/>
      <c r="D34" s="20"/>
      <c r="E34" s="20"/>
      <c r="F34" s="20">
        <v>123688.66666666667</v>
      </c>
      <c r="G34" s="20"/>
      <c r="H34" s="20"/>
      <c r="I34" s="20"/>
      <c r="J34" s="20"/>
      <c r="K34" s="20"/>
      <c r="L34" s="20"/>
      <c r="M34" s="20"/>
      <c r="N34" s="20"/>
      <c r="O34" s="20"/>
      <c r="P34" s="20">
        <v>123688.66666666667</v>
      </c>
    </row>
    <row r="35" spans="1:16">
      <c r="A35" s="17"/>
      <c r="B35" s="17" t="s">
        <v>504</v>
      </c>
      <c r="C35" s="18"/>
      <c r="D35" s="18"/>
      <c r="E35" s="18"/>
      <c r="F35" s="18">
        <v>32.333333333333336</v>
      </c>
      <c r="G35" s="18"/>
      <c r="H35" s="18"/>
      <c r="I35" s="18"/>
      <c r="J35" s="18"/>
      <c r="K35" s="18"/>
      <c r="L35" s="18"/>
      <c r="M35" s="18"/>
      <c r="N35" s="18"/>
      <c r="O35" s="18"/>
      <c r="P35" s="18">
        <v>32.333333333333336</v>
      </c>
    </row>
    <row r="36" spans="1:16">
      <c r="A36" t="s">
        <v>467</v>
      </c>
      <c r="B36" t="s">
        <v>502</v>
      </c>
      <c r="C36" s="16"/>
      <c r="D36" s="16"/>
      <c r="E36" s="16"/>
      <c r="F36" s="16">
        <v>3</v>
      </c>
      <c r="G36" s="16"/>
      <c r="H36" s="16"/>
      <c r="I36" s="16"/>
      <c r="J36" s="16"/>
      <c r="K36" s="16"/>
      <c r="L36" s="16"/>
      <c r="M36" s="16"/>
      <c r="N36" s="16"/>
      <c r="O36" s="16"/>
      <c r="P36" s="16">
        <v>3</v>
      </c>
    </row>
    <row r="37" spans="1:16">
      <c r="B37" t="s">
        <v>503</v>
      </c>
      <c r="C37" s="1"/>
      <c r="D37" s="1"/>
      <c r="E37" s="1"/>
      <c r="F37" s="1">
        <v>81351.666666666672</v>
      </c>
      <c r="G37" s="1"/>
      <c r="H37" s="1"/>
      <c r="I37" s="1"/>
      <c r="J37" s="1"/>
      <c r="K37" s="1"/>
      <c r="L37" s="1"/>
      <c r="M37" s="1"/>
      <c r="N37" s="1"/>
      <c r="O37" s="1"/>
      <c r="P37" s="1">
        <v>81351.666666666672</v>
      </c>
    </row>
    <row r="38" spans="1:16">
      <c r="B38" t="s">
        <v>504</v>
      </c>
      <c r="C38" s="16"/>
      <c r="D38" s="16"/>
      <c r="E38" s="16"/>
      <c r="F38" s="16">
        <v>22.666666666666668</v>
      </c>
      <c r="G38" s="16"/>
      <c r="H38" s="16"/>
      <c r="I38" s="16"/>
      <c r="J38" s="16"/>
      <c r="K38" s="16"/>
      <c r="L38" s="16"/>
      <c r="M38" s="16"/>
      <c r="N38" s="16"/>
      <c r="O38" s="16"/>
      <c r="P38" s="16">
        <v>22.666666666666668</v>
      </c>
    </row>
    <row r="39" spans="1:16">
      <c r="A39" s="17" t="s">
        <v>485</v>
      </c>
      <c r="B39" s="17" t="s">
        <v>502</v>
      </c>
      <c r="C39" s="18"/>
      <c r="D39" s="18"/>
      <c r="E39" s="18"/>
      <c r="F39" s="18"/>
      <c r="G39" s="18"/>
      <c r="H39" s="18"/>
      <c r="I39" s="18"/>
      <c r="J39" s="18">
        <v>2</v>
      </c>
      <c r="K39" s="18"/>
      <c r="L39" s="18"/>
      <c r="M39" s="18"/>
      <c r="N39" s="18"/>
      <c r="O39" s="18"/>
      <c r="P39" s="18">
        <v>2</v>
      </c>
    </row>
    <row r="40" spans="1:16">
      <c r="A40" s="19"/>
      <c r="B40" s="19" t="s">
        <v>503</v>
      </c>
      <c r="C40" s="20"/>
      <c r="D40" s="20"/>
      <c r="E40" s="20"/>
      <c r="F40" s="20"/>
      <c r="G40" s="20"/>
      <c r="H40" s="20"/>
      <c r="I40" s="20"/>
      <c r="J40" s="20">
        <v>115101</v>
      </c>
      <c r="K40" s="20"/>
      <c r="L40" s="20"/>
      <c r="M40" s="20"/>
      <c r="N40" s="20"/>
      <c r="O40" s="20"/>
      <c r="P40" s="20">
        <v>115101</v>
      </c>
    </row>
    <row r="41" spans="1:16">
      <c r="A41" s="17"/>
      <c r="B41" s="17" t="s">
        <v>504</v>
      </c>
      <c r="C41" s="18"/>
      <c r="D41" s="18"/>
      <c r="E41" s="18"/>
      <c r="F41" s="18"/>
      <c r="G41" s="18"/>
      <c r="H41" s="18"/>
      <c r="I41" s="18"/>
      <c r="J41" s="18">
        <v>30</v>
      </c>
      <c r="K41" s="18"/>
      <c r="L41" s="18"/>
      <c r="M41" s="18"/>
      <c r="N41" s="18"/>
      <c r="O41" s="18"/>
      <c r="P41" s="18">
        <v>30</v>
      </c>
    </row>
    <row r="42" spans="1:16">
      <c r="A42" t="s">
        <v>486</v>
      </c>
      <c r="B42" t="s">
        <v>502</v>
      </c>
      <c r="C42" s="16"/>
      <c r="D42" s="16"/>
      <c r="E42" s="16"/>
      <c r="F42" s="16"/>
      <c r="G42" s="16"/>
      <c r="H42" s="16">
        <v>2</v>
      </c>
      <c r="I42" s="16"/>
      <c r="J42" s="16"/>
      <c r="K42" s="16"/>
      <c r="L42" s="16"/>
      <c r="M42" s="16"/>
      <c r="N42" s="16"/>
      <c r="O42" s="16"/>
      <c r="P42" s="16">
        <v>2</v>
      </c>
    </row>
    <row r="43" spans="1:16">
      <c r="B43" t="s">
        <v>503</v>
      </c>
      <c r="C43" s="1"/>
      <c r="D43" s="1"/>
      <c r="E43" s="1"/>
      <c r="F43" s="1"/>
      <c r="G43" s="1"/>
      <c r="H43" s="1">
        <v>37862.5</v>
      </c>
      <c r="I43" s="1"/>
      <c r="J43" s="1"/>
      <c r="K43" s="1"/>
      <c r="L43" s="1"/>
      <c r="M43" s="1"/>
      <c r="N43" s="1"/>
      <c r="O43" s="1"/>
      <c r="P43" s="1">
        <v>37862.5</v>
      </c>
    </row>
    <row r="44" spans="1:16">
      <c r="B44" t="s">
        <v>504</v>
      </c>
      <c r="C44" s="16"/>
      <c r="D44" s="16"/>
      <c r="E44" s="16"/>
      <c r="F44" s="16"/>
      <c r="G44" s="16"/>
      <c r="H44" s="16">
        <v>23</v>
      </c>
      <c r="I44" s="16"/>
      <c r="J44" s="16"/>
      <c r="K44" s="16"/>
      <c r="L44" s="16"/>
      <c r="M44" s="16"/>
      <c r="N44" s="16"/>
      <c r="O44" s="16"/>
      <c r="P44" s="16">
        <v>23</v>
      </c>
    </row>
    <row r="45" spans="1:16">
      <c r="A45" s="17" t="s">
        <v>493</v>
      </c>
      <c r="B45" s="17" t="s">
        <v>502</v>
      </c>
      <c r="C45" s="18"/>
      <c r="D45" s="18"/>
      <c r="E45" s="18"/>
      <c r="F45" s="18"/>
      <c r="G45" s="18"/>
      <c r="H45" s="18">
        <v>1</v>
      </c>
      <c r="I45" s="18"/>
      <c r="J45" s="18"/>
      <c r="K45" s="18"/>
      <c r="L45" s="18"/>
      <c r="M45" s="18"/>
      <c r="N45" s="18"/>
      <c r="O45" s="18"/>
      <c r="P45" s="18">
        <v>1</v>
      </c>
    </row>
    <row r="46" spans="1:16">
      <c r="A46" s="19"/>
      <c r="B46" s="19" t="s">
        <v>503</v>
      </c>
      <c r="C46" s="20"/>
      <c r="D46" s="20"/>
      <c r="E46" s="20"/>
      <c r="F46" s="20"/>
      <c r="G46" s="20"/>
      <c r="H46" s="20">
        <v>109561</v>
      </c>
      <c r="I46" s="20"/>
      <c r="J46" s="20"/>
      <c r="K46" s="20"/>
      <c r="L46" s="20"/>
      <c r="M46" s="20"/>
      <c r="N46" s="20"/>
      <c r="O46" s="20"/>
      <c r="P46" s="20">
        <v>109561</v>
      </c>
    </row>
    <row r="47" spans="1:16">
      <c r="A47" s="17"/>
      <c r="B47" s="17" t="s">
        <v>504</v>
      </c>
      <c r="C47" s="18"/>
      <c r="D47" s="18"/>
      <c r="E47" s="18"/>
      <c r="F47" s="18"/>
      <c r="G47" s="18"/>
      <c r="H47" s="18">
        <v>21</v>
      </c>
      <c r="I47" s="18"/>
      <c r="J47" s="18"/>
      <c r="K47" s="18"/>
      <c r="L47" s="18"/>
      <c r="M47" s="18"/>
      <c r="N47" s="18"/>
      <c r="O47" s="18"/>
      <c r="P47" s="18">
        <v>21</v>
      </c>
    </row>
    <row r="48" spans="1:16">
      <c r="A48" t="s">
        <v>479</v>
      </c>
      <c r="B48" t="s">
        <v>502</v>
      </c>
      <c r="C48" s="16"/>
      <c r="D48" s="16"/>
      <c r="E48" s="16"/>
      <c r="F48" s="16"/>
      <c r="G48" s="16"/>
      <c r="H48" s="16">
        <v>1</v>
      </c>
      <c r="I48" s="16"/>
      <c r="J48" s="16"/>
      <c r="K48" s="16"/>
      <c r="L48" s="16"/>
      <c r="M48" s="16"/>
      <c r="N48" s="16"/>
      <c r="O48" s="16"/>
      <c r="P48" s="16">
        <v>1</v>
      </c>
    </row>
    <row r="49" spans="1:16">
      <c r="B49" t="s">
        <v>503</v>
      </c>
      <c r="C49" s="1"/>
      <c r="D49" s="1"/>
      <c r="E49" s="1"/>
      <c r="F49" s="1"/>
      <c r="G49" s="1"/>
      <c r="H49" s="1">
        <v>66402.210000000006</v>
      </c>
      <c r="I49" s="1"/>
      <c r="J49" s="1"/>
      <c r="K49" s="1"/>
      <c r="L49" s="1"/>
      <c r="M49" s="1"/>
      <c r="N49" s="1"/>
      <c r="O49" s="1"/>
      <c r="P49" s="1">
        <v>66402.210000000006</v>
      </c>
    </row>
    <row r="50" spans="1:16">
      <c r="B50" t="s">
        <v>504</v>
      </c>
      <c r="C50" s="16"/>
      <c r="D50" s="16"/>
      <c r="E50" s="16"/>
      <c r="F50" s="16"/>
      <c r="G50" s="16"/>
      <c r="H50" s="16">
        <v>42</v>
      </c>
      <c r="I50" s="16"/>
      <c r="J50" s="16"/>
      <c r="K50" s="16"/>
      <c r="L50" s="16"/>
      <c r="M50" s="16"/>
      <c r="N50" s="16"/>
      <c r="O50" s="16"/>
      <c r="P50" s="16">
        <v>42</v>
      </c>
    </row>
    <row r="51" spans="1:16">
      <c r="A51" s="17" t="s">
        <v>475</v>
      </c>
      <c r="B51" s="17" t="s">
        <v>502</v>
      </c>
      <c r="C51" s="18"/>
      <c r="D51" s="18"/>
      <c r="E51" s="18"/>
      <c r="F51" s="18"/>
      <c r="G51" s="18">
        <v>2</v>
      </c>
      <c r="H51" s="18"/>
      <c r="I51" s="18">
        <v>1</v>
      </c>
      <c r="J51" s="18"/>
      <c r="K51" s="18">
        <v>2</v>
      </c>
      <c r="L51" s="18"/>
      <c r="M51" s="18">
        <v>1</v>
      </c>
      <c r="N51" s="18">
        <v>1</v>
      </c>
      <c r="O51" s="18"/>
      <c r="P51" s="18">
        <v>7</v>
      </c>
    </row>
    <row r="52" spans="1:16">
      <c r="A52" s="19"/>
      <c r="B52" s="19" t="s">
        <v>503</v>
      </c>
      <c r="C52" s="20"/>
      <c r="D52" s="20"/>
      <c r="E52" s="20"/>
      <c r="F52" s="20"/>
      <c r="G52" s="20">
        <v>218578.5</v>
      </c>
      <c r="H52" s="20"/>
      <c r="I52" s="20">
        <v>196924</v>
      </c>
      <c r="J52" s="20"/>
      <c r="K52" s="20">
        <v>185256</v>
      </c>
      <c r="L52" s="20"/>
      <c r="M52" s="20">
        <v>201415</v>
      </c>
      <c r="N52" s="20">
        <v>123523</v>
      </c>
      <c r="O52" s="20"/>
      <c r="P52" s="20">
        <v>189933</v>
      </c>
    </row>
    <row r="53" spans="1:16">
      <c r="A53" s="17"/>
      <c r="B53" s="17" t="s">
        <v>504</v>
      </c>
      <c r="C53" s="18"/>
      <c r="D53" s="18"/>
      <c r="E53" s="18"/>
      <c r="F53" s="18"/>
      <c r="G53" s="18">
        <v>47.5</v>
      </c>
      <c r="H53" s="18"/>
      <c r="I53" s="18">
        <v>23</v>
      </c>
      <c r="J53" s="18"/>
      <c r="K53" s="18">
        <v>27</v>
      </c>
      <c r="L53" s="18"/>
      <c r="M53" s="18">
        <v>44</v>
      </c>
      <c r="N53" s="18">
        <v>35</v>
      </c>
      <c r="O53" s="18"/>
      <c r="P53" s="18">
        <v>35.857142857142854</v>
      </c>
    </row>
    <row r="54" spans="1:16">
      <c r="A54" t="s">
        <v>477</v>
      </c>
      <c r="B54" t="s">
        <v>502</v>
      </c>
      <c r="C54" s="16"/>
      <c r="D54" s="16"/>
      <c r="E54" s="16"/>
      <c r="F54" s="16"/>
      <c r="G54" s="16">
        <v>10</v>
      </c>
      <c r="H54" s="16"/>
      <c r="I54" s="16">
        <v>4</v>
      </c>
      <c r="J54" s="16"/>
      <c r="K54" s="16">
        <v>3</v>
      </c>
      <c r="L54" s="16">
        <v>1</v>
      </c>
      <c r="M54" s="16">
        <v>4</v>
      </c>
      <c r="N54" s="16">
        <v>12</v>
      </c>
      <c r="O54" s="16"/>
      <c r="P54" s="16">
        <v>34</v>
      </c>
    </row>
    <row r="55" spans="1:16">
      <c r="B55" t="s">
        <v>503</v>
      </c>
      <c r="C55" s="1"/>
      <c r="D55" s="1"/>
      <c r="E55" s="1"/>
      <c r="F55" s="1"/>
      <c r="G55" s="1">
        <v>152475.20000000001</v>
      </c>
      <c r="H55" s="1"/>
      <c r="I55" s="1">
        <v>161542.75</v>
      </c>
      <c r="J55" s="1"/>
      <c r="K55" s="1">
        <v>148542.33333333334</v>
      </c>
      <c r="L55" s="1">
        <v>132952</v>
      </c>
      <c r="M55" s="1">
        <v>123872.5</v>
      </c>
      <c r="N55" s="1">
        <v>84566</v>
      </c>
      <c r="O55" s="1"/>
      <c r="P55" s="1">
        <v>125287.76470588235</v>
      </c>
    </row>
    <row r="56" spans="1:16">
      <c r="B56" t="s">
        <v>504</v>
      </c>
      <c r="C56" s="16"/>
      <c r="D56" s="16"/>
      <c r="E56" s="16"/>
      <c r="F56" s="16"/>
      <c r="G56" s="16">
        <v>39.4</v>
      </c>
      <c r="H56" s="16"/>
      <c r="I56" s="16">
        <v>24.75</v>
      </c>
      <c r="J56" s="16"/>
      <c r="K56" s="16">
        <v>35.333333333333336</v>
      </c>
      <c r="L56" s="16">
        <v>26</v>
      </c>
      <c r="M56" s="16">
        <v>35.75</v>
      </c>
      <c r="N56" s="16">
        <v>24.916666666666668</v>
      </c>
      <c r="O56" s="16"/>
      <c r="P56" s="16">
        <v>31.382352941176471</v>
      </c>
    </row>
    <row r="57" spans="1:16">
      <c r="A57" s="17" t="s">
        <v>474</v>
      </c>
      <c r="B57" s="17" t="s">
        <v>502</v>
      </c>
      <c r="C57" s="18"/>
      <c r="D57" s="18"/>
      <c r="E57" s="18"/>
      <c r="F57" s="18"/>
      <c r="G57" s="18">
        <v>6</v>
      </c>
      <c r="H57" s="18"/>
      <c r="I57" s="18">
        <v>5</v>
      </c>
      <c r="J57" s="18"/>
      <c r="K57" s="18">
        <v>5</v>
      </c>
      <c r="L57" s="18">
        <v>2</v>
      </c>
      <c r="M57" s="18">
        <v>5</v>
      </c>
      <c r="N57" s="18">
        <v>13</v>
      </c>
      <c r="O57" s="18"/>
      <c r="P57" s="18">
        <v>36</v>
      </c>
    </row>
    <row r="58" spans="1:16">
      <c r="A58" s="19"/>
      <c r="B58" s="19" t="s">
        <v>503</v>
      </c>
      <c r="C58" s="20"/>
      <c r="D58" s="20"/>
      <c r="E58" s="20"/>
      <c r="F58" s="20"/>
      <c r="G58" s="20">
        <v>107254.33333333333</v>
      </c>
      <c r="H58" s="20"/>
      <c r="I58" s="20">
        <v>104893.8</v>
      </c>
      <c r="J58" s="20"/>
      <c r="K58" s="20">
        <v>91678.2</v>
      </c>
      <c r="L58" s="20">
        <v>84563.5</v>
      </c>
      <c r="M58" s="20">
        <v>105036.6</v>
      </c>
      <c r="N58" s="20">
        <v>52917.81538461538</v>
      </c>
      <c r="O58" s="20"/>
      <c r="P58" s="20">
        <v>83572.988888888896</v>
      </c>
    </row>
    <row r="59" spans="1:16">
      <c r="A59" s="17"/>
      <c r="B59" s="17" t="s">
        <v>504</v>
      </c>
      <c r="C59" s="18"/>
      <c r="D59" s="18"/>
      <c r="E59" s="18"/>
      <c r="F59" s="18"/>
      <c r="G59" s="18">
        <v>47</v>
      </c>
      <c r="H59" s="18"/>
      <c r="I59" s="18">
        <v>20.8</v>
      </c>
      <c r="J59" s="18"/>
      <c r="K59" s="18">
        <v>29.2</v>
      </c>
      <c r="L59" s="18">
        <v>50</v>
      </c>
      <c r="M59" s="18">
        <v>28.6</v>
      </c>
      <c r="N59" s="18">
        <v>27.923076923076923</v>
      </c>
      <c r="O59" s="18"/>
      <c r="P59" s="18">
        <v>31.611111111111111</v>
      </c>
    </row>
    <row r="60" spans="1:16">
      <c r="A60" t="s">
        <v>478</v>
      </c>
      <c r="B60" t="s">
        <v>502</v>
      </c>
      <c r="C60" s="16"/>
      <c r="D60" s="16"/>
      <c r="E60" s="16"/>
      <c r="F60" s="16"/>
      <c r="G60" s="16">
        <v>12</v>
      </c>
      <c r="H60" s="16"/>
      <c r="I60" s="16">
        <v>3</v>
      </c>
      <c r="J60" s="16"/>
      <c r="K60" s="16">
        <v>11</v>
      </c>
      <c r="L60" s="16"/>
      <c r="M60" s="16">
        <v>2</v>
      </c>
      <c r="N60" s="16">
        <v>16</v>
      </c>
      <c r="O60" s="16"/>
      <c r="P60" s="16">
        <v>44</v>
      </c>
    </row>
    <row r="61" spans="1:16">
      <c r="B61" t="s">
        <v>503</v>
      </c>
      <c r="C61" s="1"/>
      <c r="D61" s="1"/>
      <c r="E61" s="1"/>
      <c r="F61" s="1"/>
      <c r="G61" s="1">
        <v>69217.775000000009</v>
      </c>
      <c r="H61" s="1"/>
      <c r="I61" s="1">
        <v>76360.666666666672</v>
      </c>
      <c r="J61" s="1"/>
      <c r="K61" s="1">
        <v>58594.727272727272</v>
      </c>
      <c r="L61" s="1"/>
      <c r="M61" s="1">
        <v>50881</v>
      </c>
      <c r="N61" s="1">
        <v>41413.25</v>
      </c>
      <c r="O61" s="1"/>
      <c r="P61" s="1">
        <v>56104.802272727269</v>
      </c>
    </row>
    <row r="62" spans="1:16">
      <c r="B62" t="s">
        <v>504</v>
      </c>
      <c r="C62" s="16"/>
      <c r="D62" s="16"/>
      <c r="E62" s="16"/>
      <c r="F62" s="16"/>
      <c r="G62" s="16">
        <v>30.166666666666668</v>
      </c>
      <c r="H62" s="16"/>
      <c r="I62" s="16">
        <v>25</v>
      </c>
      <c r="J62" s="16"/>
      <c r="K62" s="16">
        <v>26.90909090909091</v>
      </c>
      <c r="L62" s="16"/>
      <c r="M62" s="16">
        <v>25.5</v>
      </c>
      <c r="N62" s="16">
        <v>25</v>
      </c>
      <c r="O62" s="16"/>
      <c r="P62" s="16">
        <v>26.90909090909091</v>
      </c>
    </row>
    <row r="63" spans="1:16">
      <c r="A63" s="17" t="s">
        <v>491</v>
      </c>
      <c r="B63" s="17" t="s">
        <v>502</v>
      </c>
      <c r="C63" s="18">
        <v>1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>
        <v>1</v>
      </c>
    </row>
    <row r="64" spans="1:16">
      <c r="A64" s="19"/>
      <c r="B64" s="19" t="s">
        <v>503</v>
      </c>
      <c r="C64" s="20">
        <v>27605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>
        <v>27605</v>
      </c>
    </row>
    <row r="65" spans="1:16">
      <c r="A65" s="17"/>
      <c r="B65" s="17" t="s">
        <v>504</v>
      </c>
      <c r="C65" s="18">
        <v>23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>
        <v>23</v>
      </c>
    </row>
    <row r="66" spans="1:16">
      <c r="A66" t="s">
        <v>488</v>
      </c>
      <c r="B66" t="s">
        <v>502</v>
      </c>
      <c r="C66" s="16">
        <v>1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>
        <v>1</v>
      </c>
    </row>
    <row r="67" spans="1:16">
      <c r="B67" t="s">
        <v>503</v>
      </c>
      <c r="C67" s="1">
        <v>362250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>
        <v>362250</v>
      </c>
    </row>
    <row r="68" spans="1:16">
      <c r="B68" t="s">
        <v>504</v>
      </c>
      <c r="C68" s="16">
        <v>43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>
        <v>43</v>
      </c>
    </row>
    <row r="69" spans="1:16">
      <c r="A69" s="17" t="s">
        <v>489</v>
      </c>
      <c r="B69" s="17" t="s">
        <v>502</v>
      </c>
      <c r="C69" s="18">
        <v>1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>
        <v>1</v>
      </c>
    </row>
    <row r="70" spans="1:16">
      <c r="A70" s="19"/>
      <c r="B70" s="19" t="s">
        <v>503</v>
      </c>
      <c r="C70" s="20">
        <v>138128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>
        <v>138128</v>
      </c>
    </row>
    <row r="71" spans="1:16">
      <c r="A71" s="17"/>
      <c r="B71" s="17" t="s">
        <v>504</v>
      </c>
      <c r="C71" s="18">
        <v>46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>
        <v>46</v>
      </c>
    </row>
    <row r="72" spans="1:16">
      <c r="A72" t="s">
        <v>490</v>
      </c>
      <c r="B72" t="s">
        <v>502</v>
      </c>
      <c r="C72" s="16">
        <v>1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>
        <v>1</v>
      </c>
    </row>
    <row r="73" spans="1:16">
      <c r="B73" t="s">
        <v>503</v>
      </c>
      <c r="C73" s="1">
        <v>85287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>
        <v>85287</v>
      </c>
    </row>
    <row r="74" spans="1:16">
      <c r="B74" t="s">
        <v>504</v>
      </c>
      <c r="C74" s="16">
        <v>20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>
        <v>20</v>
      </c>
    </row>
    <row r="75" spans="1:16">
      <c r="A75" s="17" t="s">
        <v>482</v>
      </c>
      <c r="B75" s="17" t="s">
        <v>502</v>
      </c>
      <c r="C75" s="18"/>
      <c r="D75" s="18">
        <v>1</v>
      </c>
      <c r="E75" s="18"/>
      <c r="F75" s="18">
        <v>2</v>
      </c>
      <c r="G75" s="18"/>
      <c r="H75" s="18"/>
      <c r="I75" s="18"/>
      <c r="J75" s="18">
        <v>2</v>
      </c>
      <c r="K75" s="18"/>
      <c r="L75" s="18"/>
      <c r="M75" s="18"/>
      <c r="N75" s="18"/>
      <c r="O75" s="18"/>
      <c r="P75" s="18">
        <v>5</v>
      </c>
    </row>
    <row r="76" spans="1:16">
      <c r="A76" s="19"/>
      <c r="B76" s="19" t="s">
        <v>503</v>
      </c>
      <c r="C76" s="20"/>
      <c r="D76" s="20">
        <v>62852</v>
      </c>
      <c r="E76" s="20"/>
      <c r="F76" s="20">
        <v>73869</v>
      </c>
      <c r="G76" s="20"/>
      <c r="H76" s="20"/>
      <c r="I76" s="20"/>
      <c r="J76" s="20">
        <v>78287.475000000006</v>
      </c>
      <c r="K76" s="20"/>
      <c r="L76" s="20"/>
      <c r="M76" s="20"/>
      <c r="N76" s="20"/>
      <c r="O76" s="20"/>
      <c r="P76" s="20">
        <v>73432.990000000005</v>
      </c>
    </row>
    <row r="77" spans="1:16">
      <c r="A77" s="17"/>
      <c r="B77" s="17" t="s">
        <v>504</v>
      </c>
      <c r="C77" s="18"/>
      <c r="D77" s="18">
        <v>25</v>
      </c>
      <c r="E77" s="18"/>
      <c r="F77" s="18">
        <v>28</v>
      </c>
      <c r="G77" s="18"/>
      <c r="H77" s="18"/>
      <c r="I77" s="18"/>
      <c r="J77" s="18">
        <v>34</v>
      </c>
      <c r="K77" s="18"/>
      <c r="L77" s="18"/>
      <c r="M77" s="18"/>
      <c r="N77" s="18"/>
      <c r="O77" s="18"/>
      <c r="P77" s="18">
        <v>29.8</v>
      </c>
    </row>
    <row r="78" spans="1:16">
      <c r="A78" t="s">
        <v>484</v>
      </c>
      <c r="B78" t="s">
        <v>502</v>
      </c>
      <c r="C78" s="16"/>
      <c r="D78" s="16"/>
      <c r="E78" s="16"/>
      <c r="F78" s="16"/>
      <c r="G78" s="16"/>
      <c r="H78" s="16"/>
      <c r="I78" s="16"/>
      <c r="J78" s="16">
        <v>1</v>
      </c>
      <c r="K78" s="16"/>
      <c r="L78" s="16"/>
      <c r="M78" s="16"/>
      <c r="N78" s="16"/>
      <c r="O78" s="16"/>
      <c r="P78" s="16">
        <v>1</v>
      </c>
    </row>
    <row r="79" spans="1:16">
      <c r="B79" t="s">
        <v>503</v>
      </c>
      <c r="C79" s="1"/>
      <c r="D79" s="1"/>
      <c r="E79" s="1"/>
      <c r="F79" s="1"/>
      <c r="G79" s="1"/>
      <c r="H79" s="1"/>
      <c r="I79" s="1"/>
      <c r="J79" s="1">
        <v>156180</v>
      </c>
      <c r="K79" s="1"/>
      <c r="L79" s="1"/>
      <c r="M79" s="1"/>
      <c r="N79" s="1"/>
      <c r="O79" s="1"/>
      <c r="P79" s="1">
        <v>156180</v>
      </c>
    </row>
    <row r="80" spans="1:16">
      <c r="B80" t="s">
        <v>504</v>
      </c>
      <c r="C80" s="16"/>
      <c r="D80" s="16"/>
      <c r="E80" s="16"/>
      <c r="F80" s="16"/>
      <c r="G80" s="16"/>
      <c r="H80" s="16"/>
      <c r="I80" s="16"/>
      <c r="J80" s="16">
        <v>37</v>
      </c>
      <c r="K80" s="16"/>
      <c r="L80" s="16"/>
      <c r="M80" s="16"/>
      <c r="N80" s="16"/>
      <c r="O80" s="16"/>
      <c r="P80" s="16">
        <v>37</v>
      </c>
    </row>
    <row r="81" spans="1:16">
      <c r="A81" s="17" t="s">
        <v>505</v>
      </c>
      <c r="B81" s="17" t="s">
        <v>502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>
        <v>1</v>
      </c>
      <c r="O81" s="18"/>
      <c r="P81" s="18">
        <v>1</v>
      </c>
    </row>
    <row r="82" spans="1:16">
      <c r="A82" s="19"/>
      <c r="B82" s="19" t="s">
        <v>503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>
        <v>60500</v>
      </c>
      <c r="O82" s="20"/>
      <c r="P82" s="20">
        <v>60500</v>
      </c>
    </row>
    <row r="83" spans="1:16">
      <c r="A83" s="17"/>
      <c r="B83" s="17" t="s">
        <v>504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>
        <v>20</v>
      </c>
      <c r="O83" s="18"/>
      <c r="P83" s="18">
        <v>20</v>
      </c>
    </row>
    <row r="84" spans="1:16">
      <c r="A84" t="s">
        <v>500</v>
      </c>
      <c r="B84" t="s">
        <v>502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>
      <c r="B85" t="s">
        <v>503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>
        <v>19095383.109999999</v>
      </c>
      <c r="P85" s="1">
        <v>19095383.109999999</v>
      </c>
    </row>
    <row r="86" spans="1:16">
      <c r="B86" t="s">
        <v>504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>
      <c r="A87" t="s">
        <v>506</v>
      </c>
      <c r="C87" s="16">
        <v>4</v>
      </c>
      <c r="D87" s="16">
        <v>4</v>
      </c>
      <c r="E87" s="16">
        <v>1</v>
      </c>
      <c r="F87" s="16">
        <v>13</v>
      </c>
      <c r="G87" s="16">
        <v>39</v>
      </c>
      <c r="H87" s="16">
        <v>5</v>
      </c>
      <c r="I87" s="16">
        <v>22</v>
      </c>
      <c r="J87" s="16">
        <v>8</v>
      </c>
      <c r="K87" s="16">
        <v>35</v>
      </c>
      <c r="L87" s="16">
        <v>3</v>
      </c>
      <c r="M87" s="16">
        <v>15</v>
      </c>
      <c r="N87" s="16">
        <v>52</v>
      </c>
      <c r="O87" s="16"/>
      <c r="P87" s="16">
        <v>201</v>
      </c>
    </row>
    <row r="88" spans="1:16">
      <c r="A88" t="s">
        <v>507</v>
      </c>
      <c r="C88" s="1">
        <v>153317.5</v>
      </c>
      <c r="D88" s="1">
        <v>94055.25</v>
      </c>
      <c r="E88" s="1">
        <v>80350</v>
      </c>
      <c r="F88" s="1">
        <v>85441.230769230766</v>
      </c>
      <c r="G88" s="1">
        <v>111305.28974358973</v>
      </c>
      <c r="H88" s="1">
        <v>77906.042000000001</v>
      </c>
      <c r="I88" s="1">
        <v>129386.69454545456</v>
      </c>
      <c r="J88" s="1">
        <v>101313.36874999999</v>
      </c>
      <c r="K88" s="1">
        <v>82672.605714285717</v>
      </c>
      <c r="L88" s="1">
        <v>100693</v>
      </c>
      <c r="M88" s="1">
        <v>151013.79999999999</v>
      </c>
      <c r="N88" s="1">
        <v>58971.695576923077</v>
      </c>
      <c r="O88" s="1">
        <v>19095383.109999999</v>
      </c>
      <c r="P88" s="1">
        <v>189063.19910891089</v>
      </c>
    </row>
    <row r="89" spans="1:16">
      <c r="A89" t="s">
        <v>508</v>
      </c>
      <c r="C89" s="16">
        <v>33</v>
      </c>
      <c r="D89" s="16">
        <v>27</v>
      </c>
      <c r="E89" s="16">
        <v>22</v>
      </c>
      <c r="F89" s="16">
        <v>25.53846153846154</v>
      </c>
      <c r="G89" s="16">
        <v>37.051282051282051</v>
      </c>
      <c r="H89" s="16">
        <v>35.4</v>
      </c>
      <c r="I89" s="16">
        <v>27.727272727272727</v>
      </c>
      <c r="J89" s="16">
        <v>33.75</v>
      </c>
      <c r="K89" s="16">
        <v>30.114285714285714</v>
      </c>
      <c r="L89" s="16">
        <v>42</v>
      </c>
      <c r="M89" s="16">
        <v>30</v>
      </c>
      <c r="N89" s="16">
        <v>25.923076923076923</v>
      </c>
      <c r="O89" s="16"/>
      <c r="P89" s="16">
        <v>30.218905472636816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A073-B50C-4250-93CD-B364091D62DF}">
  <dimension ref="A2:B9"/>
  <sheetViews>
    <sheetView workbookViewId="0">
      <selection activeCell="A2" sqref="A2"/>
    </sheetView>
  </sheetViews>
  <sheetFormatPr defaultRowHeight="15.75"/>
  <cols>
    <col min="1" max="1" width="10.75" bestFit="1" customWidth="1"/>
    <col min="2" max="2" width="19.25" bestFit="1" customWidth="1"/>
  </cols>
  <sheetData>
    <row r="2" spans="1:2">
      <c r="A2" s="15" t="s">
        <v>45</v>
      </c>
      <c r="B2" t="s">
        <v>502</v>
      </c>
    </row>
    <row r="3" spans="1:2">
      <c r="A3" t="s">
        <v>77</v>
      </c>
      <c r="B3" s="16">
        <v>41</v>
      </c>
    </row>
    <row r="4" spans="1:2">
      <c r="A4" t="s">
        <v>58</v>
      </c>
      <c r="B4" s="16">
        <v>84</v>
      </c>
    </row>
    <row r="5" spans="1:2">
      <c r="A5" t="s">
        <v>191</v>
      </c>
      <c r="B5" s="16">
        <v>1</v>
      </c>
    </row>
    <row r="6" spans="1:2">
      <c r="A6" t="s">
        <v>64</v>
      </c>
      <c r="B6" s="16">
        <v>56</v>
      </c>
    </row>
    <row r="7" spans="1:2">
      <c r="A7" t="s">
        <v>113</v>
      </c>
      <c r="B7" s="16">
        <v>19</v>
      </c>
    </row>
    <row r="8" spans="1:2">
      <c r="A8" t="s">
        <v>500</v>
      </c>
      <c r="B8" s="16"/>
    </row>
    <row r="9" spans="1:2">
      <c r="A9" t="s">
        <v>501</v>
      </c>
      <c r="B9" s="16">
        <v>201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41D716-90EC-4AE5-9F4B-7A87A3B91A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Pamula, Lakshmi Pathi</dc:creator>
  <cp:keywords/>
  <dc:description/>
  <cp:lastModifiedBy/>
  <cp:revision/>
  <dcterms:created xsi:type="dcterms:W3CDTF">2021-01-22T22:34:07Z</dcterms:created>
  <dcterms:modified xsi:type="dcterms:W3CDTF">2026-02-12T23:42:11Z</dcterms:modified>
  <cp:category/>
  <cp:contentStatus/>
</cp:coreProperties>
</file>